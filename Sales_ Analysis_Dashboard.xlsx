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vallem\Downloads\"/>
    </mc:Choice>
  </mc:AlternateContent>
  <xr:revisionPtr revIDLastSave="0" documentId="13_ncr:1_{362A1D1A-6EB5-48E7-B6C1-EDD77064CBFA}" xr6:coauthVersionLast="47" xr6:coauthVersionMax="47" xr10:uidLastSave="{00000000-0000-0000-0000-000000000000}"/>
  <bookViews>
    <workbookView xWindow="-110" yWindow="-110" windowWidth="19420" windowHeight="10300" firstSheet="1" activeTab="4" xr2:uid="{00000000-000D-0000-FFFF-FFFF00000000}"/>
  </bookViews>
  <sheets>
    <sheet name="orders" sheetId="17" r:id="rId1"/>
    <sheet name="total sales" sheetId="18" r:id="rId2"/>
    <sheet name="Country wise sales" sheetId="19" r:id="rId3"/>
    <sheet name="Top 5 Customers" sheetId="21" r:id="rId4"/>
    <sheet name="Dashboard" sheetId="22" r:id="rId5"/>
    <sheet name="customers" sheetId="13" r:id="rId6"/>
    <sheet name="products" sheetId="2" r:id="rId7"/>
  </sheets>
  <definedNames>
    <definedName name="_xlnm._FilterDatabase" localSheetId="0" hidden="1">orders!$A$1:$N$1001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94" i="17"/>
  <c r="O112" i="17"/>
  <c r="O115" i="17"/>
  <c r="O295" i="17"/>
  <c r="O497" i="17"/>
  <c r="O594" i="17"/>
  <c r="O598" i="17"/>
  <c r="O605" i="17"/>
  <c r="O760" i="17"/>
  <c r="O947" i="17"/>
  <c r="O958" i="17"/>
  <c r="O959" i="17"/>
  <c r="N478" i="17"/>
  <c r="N953" i="17"/>
  <c r="M20" i="17"/>
  <c r="M97" i="17"/>
  <c r="M98" i="17"/>
  <c r="M577" i="17"/>
  <c r="M703" i="17"/>
  <c r="M742" i="17"/>
  <c r="M761" i="17"/>
  <c r="M762" i="17"/>
  <c r="M886" i="17"/>
  <c r="J5" i="17"/>
  <c r="O5"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L98" i="17"/>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L762" i="17"/>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4" i="17"/>
  <c r="O4"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J113" i="17"/>
  <c r="O113" i="17" s="1"/>
  <c r="J114" i="17"/>
  <c r="O114" i="17" s="1"/>
  <c r="J115" i="17"/>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J595" i="17"/>
  <c r="O595" i="17" s="1"/>
  <c r="J596" i="17"/>
  <c r="O596" i="17" s="1"/>
  <c r="J597" i="17"/>
  <c r="O597" i="17" s="1"/>
  <c r="J598" i="17"/>
  <c r="J599" i="17"/>
  <c r="O599" i="17" s="1"/>
  <c r="J600" i="17"/>
  <c r="O600" i="17" s="1"/>
  <c r="J601" i="17"/>
  <c r="O601" i="17" s="1"/>
  <c r="J602" i="17"/>
  <c r="O602" i="17" s="1"/>
  <c r="J603" i="17"/>
  <c r="O603" i="17" s="1"/>
  <c r="J604" i="17"/>
  <c r="O604" i="17" s="1"/>
  <c r="J605" i="17"/>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J959" i="17"/>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3" i="17"/>
  <c r="O3" i="17" s="1"/>
  <c r="K3" i="17"/>
  <c r="L3" i="17"/>
  <c r="M3"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I2" i="17"/>
  <c r="N2" i="17" s="1"/>
  <c r="G6"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G3" i="17"/>
  <c r="G4" i="17"/>
  <c r="G5"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<sst xmlns="http://schemas.openxmlformats.org/spreadsheetml/2006/main" count="11128" uniqueCount="6221">
  <si>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</si>
  <si>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</si>
  <si>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</si>
  <si>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</si>
  <si>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</si>
  <si>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</si>
  <si>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</si>
  <si>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</si>
  <si>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</si>
  <si>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</si>
  <si>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</si>
  <si>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</si>
  <si>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</si>
  <si>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</si>
  <si>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</si>
  <si>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</si>
  <si>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</si>
  <si>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</si>
  <si>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</si>
  <si>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</si>
  <si>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</si>
  <si>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</si>
  <si>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</si>
  <si>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</si>
  <si>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</si>
  <si>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</si>
  <si>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</si>
  <si>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</si>
  <si>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</si>
  <si>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</si>
  <si>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</si>
  <si>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</si>
  <si>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</si>
  <si>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</si>
  <si>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</si>
  <si>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</si>
  <si>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</si>
  <si>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</si>
  <si>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</si>
  <si>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</si>
  <si>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</si>
  <si>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</si>
  <si>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</si>
  <si>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</si>
  <si>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</si>
  <si>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</si>
  <si>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</si>
  <si>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</si>
  <si>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</si>
  <si>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</si>
  <si>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</si>
  <si>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</si>
  <si>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</si>
  <si>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</si>
  <si>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</si>
  <si>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</si>
  <si>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</si>
  <si>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</si>
  <si>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</si>
  <si>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</si>
  <si>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</si>
  <si>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</si>
  <si>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</si>
  <si>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</si>
  <si>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</si>
  <si>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</si>
  <si>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</si>
  <si>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</si>
  <si>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</si>
  <si>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</si>
  <si>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</si>
  <si>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</si>
  <si>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</si>
  <si>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</si>
  <si>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</si>
  <si>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</si>
  <si>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</si>
  <si>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</si>
  <si>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</si>
  <si>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</si>
  <si>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</si>
  <si>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</si>
  <si>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</si>
  <si>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</si>
  <si>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</si>
  <si>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</si>
  <si>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</si>
  <si>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</si>
  <si>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</si>
  <si>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</si>
  <si>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</si>
  <si>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</si>
  <si>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</si>
  <si>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</si>
  <si>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</si>
  <si>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</si>
  <si>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</si>
  <si>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</si>
  <si>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</si>
  <si>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</si>
  <si>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</si>
  <si>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</si>
  <si>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</si>
  <si>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</si>
  <si>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</si>
  <si>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</si>
  <si>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</si>
  <si>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</si>
  <si>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</si>
  <si>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</si>
  <si>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</si>
  <si>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</si>
  <si>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</si>
  <si>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</si>
  <si>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</si>
  <si>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</si>
  <si>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</si>
  <si>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</si>
  <si>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</si>
  <si>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</si>
  <si>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</si>
  <si>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</si>
  <si>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</si>
  <si>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</si>
  <si>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</si>
  <si>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</si>
  <si>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</si>
  <si>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</si>
  <si>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</si>
  <si>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</si>
  <si>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</si>
  <si>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</si>
  <si>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</si>
  <si>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</si>
  <si>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</si>
  <si>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</si>
  <si>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</si>
  <si>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</si>
  <si>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</si>
  <si>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</si>
  <si>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</si>
  <si>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</si>
  <si>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</si>
  <si>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</si>
  <si>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</si>
  <si>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</si>
  <si>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</si>
  <si>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</si>
  <si>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</si>
  <si>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</si>
  <si>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</si>
  <si>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</si>
  <si>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</si>
  <si>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</si>
  <si>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</si>
  <si>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</si>
  <si>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</si>
  <si>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</si>
  <si>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</si>
  <si>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</si>
  <si>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</si>
  <si>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</si>
  <si>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</si>
  <si>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</si>
  <si>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</si>
  <si>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</si>
  <si>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</si>
  <si>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</si>
  <si>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</si>
  <si>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</si>
  <si>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</si>
  <si>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</si>
  <si>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</si>
  <si>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</si>
  <si>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</si>
  <si>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</si>
  <si>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</si>
  <si>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</si>
  <si>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</si>
  <si>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</si>
  <si>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</si>
  <si>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</si>
  <si>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</si>
  <si>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</si>
  <si>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</si>
  <si>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</si>
  <si>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</si>
  <si>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</si>
  <si>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</si>
  <si>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</si>
  <si>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</si>
  <si>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</si>
  <si>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</si>
  <si>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</si>
  <si>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</si>
  <si>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</si>
  <si>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</si>
  <si>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</si>
  <si>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</si>
  <si>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</si>
  <si>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</si>
  <si>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</si>
  <si>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</si>
  <si>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</si>
  <si>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</si>
  <si>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</si>
  <si>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</si>
  <si>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</si>
  <si>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</si>
  <si>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</si>
  <si>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</si>
  <si>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</si>
  <si>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</si>
  <si>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</si>
  <si>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</si>
  <si>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</si>
  <si>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</si>
  <si>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</si>
  <si>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</si>
  <si>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</si>
  <si>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</si>
  <si>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</si>
  <si>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</si>
  <si>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</si>
  <si>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</si>
  <si>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</si>
  <si>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</si>
  <si>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</si>
  <si>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</si>
  <si>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</si>
  <si>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</si>
  <si>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</si>
  <si>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</si>
  <si>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</si>
  <si>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</si>
  <si>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</si>
  <si>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</si>
  <si>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</si>
  <si>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</si>
  <si>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</si>
  <si>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</si>
  <si>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</si>
  <si>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</si>
  <si>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</si>
  <si>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</si>
  <si>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</si>
  <si>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</si>
  <si>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</si>
  <si>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</si>
  <si>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</si>
  <si>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</si>
  <si>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</si>
  <si>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</si>
  <si>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</si>
  <si>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</si>
  <si>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</si>
  <si>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</si>
  <si>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</si>
  <si>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</si>
  <si>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</si>
  <si>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</si>
  <si>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</si>
  <si>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</si>
  <si>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</si>
  <si>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</si>
  <si>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</si>
  <si>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</si>
  <si>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</si>
  <si>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</si>
  <si>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</si>
  <si>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</si>
  <si>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</si>
  <si>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</si>
  <si>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</si>
  <si>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</si>
  <si>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</si>
  <si>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</si>
  <si>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</si>
  <si>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</si>
  <si>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</si>
  <si>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</si>
  <si>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</si>
  <si>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</si>
  <si>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</si>
  <si>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</si>
  <si>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</si>
  <si>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</si>
  <si>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</si>
  <si>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</si>
  <si>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</si>
  <si>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</si>
  <si>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</si>
  <si>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</si>
  <si>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</si>
  <si>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</si>
  <si>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</si>
  <si>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</si>
  <si>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</si>
  <si>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</si>
  <si>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</si>
  <si>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</si>
  <si>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</si>
  <si>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</si>
  <si>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</si>
  <si>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</si>
  <si>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</si>
  <si>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</si>
  <si>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</si>
  <si>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</si>
  <si>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</si>
  <si>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</si>
  <si>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</si>
  <si>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</si>
  <si>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</si>
  <si>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</si>
  <si>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</si>
  <si>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</si>
  <si>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</si>
  <si>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</si>
  <si>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</si>
  <si>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</si>
  <si>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</si>
  <si>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</si>
  <si>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</si>
  <si>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</si>
  <si>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</si>
  <si>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</si>
  <si>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</si>
  <si>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</si>
  <si>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</si>
  <si>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</si>
  <si>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</si>
  <si>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</si>
  <si>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</si>
  <si>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</si>
  <si>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</si>
  <si>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</si>
  <si>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</si>
  <si>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</si>
  <si>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</si>
  <si>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</si>
  <si>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</si>
  <si>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</si>
  <si>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</si>
  <si>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</si>
  <si>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</si>
  <si>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</si>
  <si>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</si>
  <si>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</si>
  <si>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</si>
  <si>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</si>
  <si>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</si>
  <si>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</si>
  <si>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</si>
  <si>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</si>
  <si>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</si>
  <si>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</si>
  <si>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</si>
  <si>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</si>
  <si>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</si>
  <si>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</si>
  <si>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</si>
  <si>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</si>
  <si>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</si>
  <si>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</si>
  <si>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</si>
  <si>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</si>
  <si>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</si>
  <si>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</si>
  <si>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</si>
  <si>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</si>
  <si>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</si>
  <si>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</si>
  <si>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</si>
  <si>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</si>
  <si>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</si>
  <si>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</si>
  <si>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</si>
  <si>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</si>
  <si>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</si>
  <si>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</si>
  <si>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</si>
  <si>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</si>
  <si>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</si>
  <si>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</si>
  <si>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</si>
  <si>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</si>
  <si>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</si>
  <si>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</si>
  <si>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</si>
  <si>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</si>
  <si>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</si>
  <si>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</si>
  <si>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</si>
  <si>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</si>
  <si>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</si>
  <si>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</si>
  <si>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</si>
  <si>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</si>
  <si>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</si>
  <si>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</si>
  <si>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</si>
  <si>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</si>
  <si>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</si>
  <si>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</si>
  <si>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</si>
  <si>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</si>
  <si>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</si>
  <si>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</si>
  <si>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</si>
  <si>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</si>
  <si>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</si>
  <si>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</si>
  <si>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</si>
  <si>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</si>
  <si>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</si>
  <si>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</si>
  <si>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</si>
  <si>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</si>
  <si>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</si>
  <si>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</si>
  <si>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</si>
  <si>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</si>
  <si>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</si>
  <si>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</si>
  <si>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</si>
  <si>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</si>
  <si>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</si>
  <si>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</si>
  <si>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</si>
  <si>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</si>
  <si>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</si>
  <si>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</si>
  <si>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</si>
  <si>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</si>
  <si>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</si>
  <si>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</si>
  <si>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</si>
  <si>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</si>
  <si>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</si>
  <si>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</si>
  <si>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</si>
  <si>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</si>
  <si>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</si>
  <si>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</si>
  <si>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</si>
  <si>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</si>
  <si>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</si>
  <si>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</si>
  <si>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</si>
  <si>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</si>
  <si>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</si>
  <si>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</si>
  <si>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</si>
  <si>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</si>
  <si>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</si>
  <si>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</si>
  <si>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</si>
  <si>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</si>
  <si>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</si>
  <si>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</si>
  <si>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</si>
  <si>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</si>
  <si>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</si>
  <si>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</si>
  <si>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</si>
  <si>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</si>
  <si>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</si>
  <si>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</si>
  <si>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</si>
  <si>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</si>
  <si>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</si>
  <si>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</si>
  <si>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</si>
  <si>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</si>
  <si>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</si>
  <si>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</si>
  <si>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</si>
  <si>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</si>
  <si>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</si>
  <si>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</si>
  <si>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</si>
  <si>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</si>
  <si>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</si>
  <si>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</si>
  <si>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</si>
  <si>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</si>
  <si>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</si>
  <si>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</si>
  <si>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</si>
  <si>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</si>
  <si>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</si>
  <si>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</si>
  <si>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</si>
  <si>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</si>
  <si>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</si>
  <si>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</si>
  <si>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</si>
  <si>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</si>
  <si>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</si>
  <si>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</si>
  <si>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</si>
  <si>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</si>
  <si>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</si>
  <si>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</si>
  <si>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</si>
  <si>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</si>
  <si>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</si>
  <si>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</si>
  <si>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</si>
  <si>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</si>
  <si>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</si>
  <si>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</si>
  <si>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</si>
  <si>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</si>
  <si>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</si>
  <si>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</si>
  <si>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</si>
  <si>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</si>
  <si>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</si>
  <si>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</si>
  <si>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</si>
  <si>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</si>
  <si>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</si>
  <si>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</si>
  <si>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</si>
  <si>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</si>
  <si>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</si>
  <si>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</si>
  <si>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</si>
  <si>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</si>
  <si>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</si>
  <si>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</si>
  <si>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</si>
  <si>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</si>
  <si>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</si>
  <si>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</si>
  <si>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</si>
  <si>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</si>
  <si>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</si>
  <si>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</si>
  <si>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</si>
  <si>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</si>
  <si>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</si>
  <si>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</si>
  <si>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</si>
  <si>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</si>
  <si>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</si>
  <si>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</si>
  <si>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</si>
  <si>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</si>
  <si>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</si>
  <si>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</si>
  <si>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</si>
  <si>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</si>
  <si>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</si>
  <si>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</si>
  <si>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</si>
  <si>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</si>
  <si>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</si>
  <si>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</si>
  <si>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</si>
  <si>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</si>
  <si>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</si>
  <si>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</si>
  <si>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</si>
  <si>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</si>
  <si>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</si>
  <si>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</si>
  <si>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</si>
  <si>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</si>
  <si>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</si>
  <si>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</si>
  <si>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</si>
  <si>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</si>
  <si>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</si>
  <si>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</si>
  <si>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</si>
  <si>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</si>
  <si>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</si>
  <si>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</si>
  <si>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</si>
  <si>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</si>
  <si>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</si>
  <si>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</si>
  <si>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</si>
  <si>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</si>
  <si>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</si>
  <si>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</si>
  <si>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</si>
  <si>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</si>
  <si>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</si>
  <si>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</si>
  <si>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</si>
  <si>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</si>
  <si>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</si>
  <si>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</si>
  <si>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</si>
  <si>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</si>
  <si>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</si>
  <si>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</si>
  <si>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</si>
  <si>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</si>
  <si>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</si>
  <si>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</si>
  <si>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</si>
  <si>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</si>
  <si>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</si>
  <si>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</si>
  <si>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</si>
  <si>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</si>
  <si>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</si>
  <si>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</si>
  <si>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</si>
  <si>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</si>
  <si>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</si>
  <si>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</si>
  <si>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</si>
  <si>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</si>
  <si>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</si>
  <si>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</si>
  <si>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</si>
  <si>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</si>
  <si>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</si>
  <si>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</si>
  <si>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</si>
  <si>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</si>
  <si>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</si>
  <si>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</si>
  <si>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</si>
  <si>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</si>
  <si>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</si>
  <si>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</si>
  <si>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</si>
  <si>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</si>
  <si>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</si>
  <si>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</si>
  <si>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</si>
  <si>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</si>
  <si>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</si>
  <si>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</si>
  <si>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</si>
  <si>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</si>
  <si>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</si>
  <si>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</si>
  <si>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</si>
  <si>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</si>
  <si>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</si>
  <si>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</si>
  <si>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</si>
  <si>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</si>
  <si>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</si>
  <si>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</si>
  <si>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</si>
  <si>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</si>
  <si>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</si>
  <si>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</si>
  <si>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</si>
  <si>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</si>
  <si>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</si>
  <si>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</si>
  <si>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</si>
  <si>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</si>
  <si>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</si>
  <si>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</si>
  <si>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</si>
  <si>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</si>
  <si>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</si>
  <si>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</si>
  <si>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</si>
  <si>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</si>
  <si>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</si>
  <si>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</si>
  <si>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</si>
  <si>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</si>
  <si>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</si>
  <si>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</si>
  <si>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</si>
  <si>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</si>
  <si>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</si>
  <si>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</si>
  <si>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</si>
  <si>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</si>
  <si>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</si>
  <si>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</si>
  <si>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</si>
  <si>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</si>
  <si>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</si>
  <si>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</si>
  <si>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</si>
  <si>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</si>
  <si>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</si>
  <si>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</si>
  <si>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</si>
  <si>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</si>
  <si>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</si>
  <si>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</si>
  <si>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</si>
  <si>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</si>
  <si>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</si>
  <si>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</si>
  <si>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</si>
  <si>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</si>
  <si>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</si>
  <si>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</si>
  <si>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</si>
  <si>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</si>
  <si>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</si>
  <si>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</si>
  <si>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</si>
  <si>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</si>
  <si>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</si>
  <si>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</si>
  <si>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</si>
  <si>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</si>
  <si>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</si>
  <si>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</si>
  <si>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</si>
  <si>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</si>
  <si>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</si>
  <si>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</si>
  <si>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</si>
  <si>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</si>
  <si>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</si>
  <si>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</si>
  <si>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</si>
  <si>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</si>
  <si>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</si>
  <si>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</si>
  <si>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</si>
  <si>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</si>
  <si>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</si>
  <si>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</si>
  <si>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</si>
  <si>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</si>
  <si>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</si>
  <si>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</si>
  <si>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</si>
  <si>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</si>
  <si>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</si>
  <si>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</si>
  <si>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</si>
  <si>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</si>
  <si>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</si>
  <si>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</si>
  <si>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</si>
  <si>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</si>
  <si>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</si>
  <si>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</si>
  <si>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</si>
  <si>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</si>
  <si>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</si>
  <si>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</si>
  <si>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</si>
  <si>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</si>
  <si>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</si>
  <si>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</si>
  <si>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</si>
  <si>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</si>
  <si>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</si>
  <si>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</si>
  <si>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</si>
  <si>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</si>
  <si>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</si>
  <si>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</si>
  <si>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</si>
  <si>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</si>
  <si>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</si>
  <si>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</si>
  <si>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</si>
  <si>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</si>
  <si>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</si>
  <si>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</si>
  <si>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</si>
  <si>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</si>
  <si>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</si>
  <si>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</si>
  <si>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</si>
  <si>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</si>
  <si>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</si>
  <si>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</si>
  <si>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</si>
  <si>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</si>
  <si>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</si>
  <si>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</si>
  <si>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</si>
  <si>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</si>
  <si>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</si>
  <si>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</si>
  <si>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</si>
  <si>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</si>
  <si>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</si>
  <si>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</si>
  <si>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</si>
  <si>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</si>
  <si>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</si>
  <si>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</si>
  <si>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</si>
  <si>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</si>
  <si>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</si>
  <si>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</si>
  <si>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</si>
  <si>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</si>
  <si>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</si>
  <si>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</si>
  <si>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</si>
  <si>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</si>
  <si>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</si>
  <si>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</si>
  <si>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</si>
  <si>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</si>
  <si>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</si>
  <si>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</si>
  <si>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</si>
  <si>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</si>
  <si>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</si>
  <si>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</si>
  <si>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</si>
  <si>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</si>
  <si>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</si>
  <si>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</si>
  <si>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</si>
  <si>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</si>
  <si>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</si>
  <si>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</si>
  <si>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</si>
  <si>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</si>
  <si>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</si>
  <si>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</si>
  <si>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</si>
  <si>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</si>
  <si>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</si>
  <si>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</si>
  <si>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</si>
  <si>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</si>
  <si>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</si>
  <si>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</si>
  <si>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</si>
  <si>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</si>
  <si>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</si>
  <si>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</si>
  <si>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</si>
  <si>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</si>
  <si>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</si>
  <si>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</si>
  <si>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</si>
  <si>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</si>
  <si>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</si>
  <si>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</si>
  <si>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</si>
  <si>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</si>
  <si>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</si>
  <si>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</si>
  <si>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</si>
  <si>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</si>
  <si>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</si>
  <si>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</si>
  <si>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</si>
  <si>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</si>
  <si>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</si>
  <si>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</si>
  <si>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</si>
  <si>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</si>
  <si>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</si>
  <si>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</si>
  <si>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</si>
  <si>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</si>
  <si>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</si>
  <si>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</si>
  <si>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</si>
  <si>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</si>
  <si>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</si>
  <si>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</si>
  <si>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</si>
  <si>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</si>
  <si>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</si>
  <si>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</si>
  <si>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</si>
  <si>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</si>
  <si>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</si>
  <si>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</si>
  <si>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</si>
  <si>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</si>
  <si>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</si>
  <si>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</si>
  <si>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</si>
  <si>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</si>
  <si>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</si>
  <si>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</si>
  <si>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</si>
  <si>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</si>
  <si>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</si>
  <si>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</si>
  <si>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</si>
  <si>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</si>
  <si>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</si>
  <si>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</si>
  <si>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</si>
  <si>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</si>
  <si>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</si>
  <si>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</si>
  <si>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</si>
  <si>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</si>
  <si>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</si>
  <si>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</si>
  <si>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</si>
  <si>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</si>
  <si>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</si>
  <si>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</si>
  <si>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</si>
  <si>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</si>
  <si>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</si>
  <si>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</si>
  <si>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</si>
  <si>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</si>
  <si>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</si>
  <si>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</si>
  <si>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</si>
  <si>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</si>
  <si>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</si>
  <si>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</si>
  <si>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</si>
  <si>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</si>
  <si>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</si>
  <si>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</si>
  <si>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</si>
  <si>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</si>
  <si>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</si>
  <si>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</si>
  <si>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</si>
  <si>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</si>
  <si>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</si>
  <si>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</si>
  <si>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</si>
  <si>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</si>
  <si>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</si>
  <si>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</si>
  <si>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</si>
  <si>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</si>
  <si>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</si>
  <si>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</si>
  <si>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</si>
  <si>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</si>
  <si>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</si>
  <si>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</si>
  <si>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</si>
  <si>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</si>
  <si>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</si>
  <si>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</si>
  <si>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</si>
  <si>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</si>
  <si>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</si>
  <si>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</si>
  <si>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</si>
  <si>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</si>
  <si>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</si>
  <si>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</si>
  <si>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</si>
  <si>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</si>
  <si>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</si>
  <si>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</si>
  <si>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</si>
  <si>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</si>
  <si>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</si>
  <si>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</si>
  <si>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</si>
  <si>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</si>
  <si>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</si>
  <si>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</si>
  <si>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</si>
  <si>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</si>
  <si>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</si>
  <si>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</si>
  <si>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</si>
  <si>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</si>
  <si>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</si>
  <si>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</si>
  <si>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</si>
  <si>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</si>
  <si>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</si>
  <si>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</si>
  <si>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</si>
  <si>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</si>
  <si>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</si>
  <si>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</si>
  <si>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</si>
  <si>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</si>
  <si>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</si>
  <si>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</si>
  <si>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</si>
  <si>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</si>
  <si>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</si>
  <si>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</si>
  <si>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</si>
  <si>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</si>
  <si>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</si>
  <si>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</si>
  <si>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</si>
  <si>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</si>
  <si>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</si>
  <si>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</si>
  <si>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</si>
  <si>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</si>
  <si>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</si>
  <si>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</si>
  <si>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</si>
  <si>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</si>
  <si>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</si>
  <si>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</si>
  <si>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</si>
  <si>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</si>
  <si>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</si>
  <si>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</si>
  <si>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</si>
  <si>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</si>
  <si>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</si>
  <si>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</si>
  <si>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</si>
  <si>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</si>
  <si>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</si>
  <si>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</si>
  <si>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</si>
  <si>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</si>
  <si>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</si>
  <si>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</si>
  <si>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</si>
  <si>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</si>
  <si>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</si>
  <si>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</si>
  <si>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</si>
  <si>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</si>
  <si>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</si>
  <si>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</si>
  <si>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</si>
  <si>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</si>
  <si>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</si>
  <si>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</si>
  <si>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</si>
  <si>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</si>
  <si>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</si>
  <si>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</si>
  <si>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</si>
  <si>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</si>
  <si>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</si>
  <si>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</si>
  <si>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</si>
  <si>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</si>
  <si>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</si>
  <si>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</si>
  <si>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</si>
  <si>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</si>
  <si>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</si>
  <si>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</si>
  <si>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</si>
  <si>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</si>
  <si>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</si>
  <si>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</si>
  <si>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</si>
  <si>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</si>
  <si>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</si>
  <si>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</si>
  <si>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</si>
  <si>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</si>
  <si>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</si>
  <si>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</si>
  <si>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</si>
  <si>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</si>
  <si>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</si>
  <si>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</si>
  <si>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</si>
  <si>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</si>
  <si>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</si>
  <si>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</si>
  <si>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</si>
  <si>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</si>
  <si>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</si>
  <si>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</si>
  <si>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</si>
  <si>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</si>
  <si>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</si>
  <si>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</si>
  <si>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</si>
  <si>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</si>
  <si>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</si>
  <si>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</si>
  <si>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</si>
  <si>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</si>
  <si>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</si>
  <si>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</si>
  <si>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</si>
  <si>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</si>
  <si>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</si>
  <si>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</si>
  <si>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</si>
  <si>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</si>
  <si>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</si>
  <si>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</si>
  <si>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</si>
  <si>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</si>
  <si>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</si>
  <si>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</si>
  <si>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</si>
  <si>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</si>
  <si>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</si>
  <si>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</si>
  <si>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</si>
  <si>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</si>
  <si>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</si>
  <si>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</si>
  <si>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</si>
  <si>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</si>
  <si>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</si>
  <si>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</si>
  <si>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</si>
  <si>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</si>
  <si>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</si>
  <si>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</si>
  <si>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</si>
  <si>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</si>
  <si>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</si>
  <si>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</si>
  <si>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</si>
  <si>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</si>
  <si>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</si>
  <si>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</si>
  <si>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</si>
  <si>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</si>
  <si>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</si>
  <si>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</si>
  <si>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</si>
  <si>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</si>
  <si>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</si>
  <si>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</si>
  <si>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</si>
  <si>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</si>
  <si>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</si>
  <si>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</si>
  <si>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</si>
  <si>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</si>
  <si>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</si>
  <si>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</si>
  <si>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</si>
  <si>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</si>
  <si>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</si>
  <si>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</si>
  <si>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</si>
  <si>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</si>
  <si>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</si>
  <si>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</si>
  <si>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</si>
  <si>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</si>
  <si>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</si>
  <si>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</si>
  <si>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</si>
  <si>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</si>
  <si>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</si>
  <si>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</si>
  <si>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</si>
  <si>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</si>
  <si>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</si>
  <si>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</si>
  <si>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</si>
  <si>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</si>
  <si>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</si>
  <si>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</si>
  <si>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</si>
  <si>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</si>
  <si>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</si>
  <si>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</si>
  <si>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</si>
  <si>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</si>
  <si>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</si>
  <si>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</si>
  <si>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</si>
  <si>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</si>
  <si>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</si>
  <si>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</si>
  <si>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</si>
  <si>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</si>
  <si>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</si>
  <si>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</si>
  <si>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</si>
  <si>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</si>
  <si>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</si>
  <si>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</si>
  <si>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</si>
  <si>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</si>
  <si>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</si>
  <si>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</si>
  <si>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</si>
  <si>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</si>
  <si>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</si>
  <si>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</si>
  <si>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</si>
  <si>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</si>
  <si>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</si>
  <si>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</si>
  <si>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</si>
  <si>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</si>
  <si>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</si>
  <si>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</si>
  <si>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</si>
  <si>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</si>
  <si>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</si>
  <si>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</si>
  <si>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</si>
  <si>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</si>
  <si>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</si>
  <si>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</si>
  <si>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</si>
  <si>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</si>
  <si>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</si>
  <si>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</si>
  <si>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</si>
  <si>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</si>
  <si>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</si>
  <si>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</si>
  <si>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</si>
  <si>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</si>
  <si>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</si>
  <si>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</si>
  <si>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</si>
  <si>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</si>
  <si>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</si>
  <si>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</si>
  <si>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</si>
  <si>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</si>
  <si>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</si>
  <si>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</si>
  <si>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</si>
  <si>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</si>
  <si>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</si>
  <si>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</si>
  <si>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</si>
  <si>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</si>
  <si>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</si>
  <si>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</si>
  <si>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</si>
  <si>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</si>
  <si>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</si>
  <si>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</si>
  <si>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</si>
  <si>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</si>
  <si>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</si>
  <si>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</si>
  <si>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</si>
  <si>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</si>
  <si>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</si>
  <si>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</si>
  <si>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</si>
  <si>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</si>
  <si>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</si>
  <si>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</si>
  <si>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</si>
  <si>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</si>
  <si>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</si>
  <si>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</si>
  <si>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</si>
  <si>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</si>
  <si>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</si>
  <si>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</si>
  <si>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</si>
  <si>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</si>
  <si>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</si>
  <si>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</si>
  <si>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</si>
  <si>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</si>
  <si>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</si>
  <si>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</si>
  <si>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</si>
  <si>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</si>
  <si>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</si>
  <si>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</si>
  <si>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</si>
  <si>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</si>
  <si>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</si>
  <si>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</si>
  <si>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</si>
  <si>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</si>
  <si>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</si>
  <si>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</si>
  <si>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</si>
  <si>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</si>
  <si>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</si>
  <si>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</si>
  <si>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</si>
  <si>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</si>
  <si>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</si>
  <si>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</si>
  <si>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</si>
  <si>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</si>
  <si>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</si>
  <si>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</si>
  <si>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</si>
  <si>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</si>
  <si>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</si>
  <si>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</si>
  <si>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</si>
  <si>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</si>
  <si>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</si>
  <si>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</si>
  <si>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</si>
  <si>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</si>
  <si>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</si>
  <si>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</si>
  <si>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</si>
  <si>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</si>
  <si>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</si>
  <si>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</si>
  <si>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</si>
  <si>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</si>
  <si>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</si>
  <si>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</si>
  <si>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</si>
  <si>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</si>
  <si>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</si>
  <si>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</si>
  <si>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</si>
  <si>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</si>
  <si>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</si>
  <si>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</si>
  <si>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</si>
  <si>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</si>
  <si>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</si>
  <si>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</si>
  <si>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</si>
  <si>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</si>
  <si>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</si>
  <si>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</si>
  <si>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</si>
  <si>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</si>
  <si>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</si>
  <si>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</si>
  <si>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</si>
  <si>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</si>
  <si>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</si>
  <si>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</si>
  <si>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</si>
  <si>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</si>
  <si>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</si>
  <si>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</si>
  <si>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</si>
  <si>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</si>
  <si>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</si>
  <si>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</si>
  <si>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</si>
  <si>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</si>
  <si>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</si>
  <si>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</si>
  <si>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</si>
  <si>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</si>
  <si>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</si>
  <si>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</si>
  <si>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</si>
  <si>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</si>
  <si>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</si>
  <si>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</si>
  <si>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</si>
  <si>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</si>
  <si>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</si>
  <si>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</si>
  <si>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</si>
  <si>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</si>
  <si>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</si>
  <si>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</si>
  <si>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</si>
  <si>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</si>
  <si>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</si>
  <si>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</si>
  <si>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</si>
  <si>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</si>
  <si>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</si>
  <si>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</si>
  <si>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</si>
  <si>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</si>
  <si>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</si>
  <si>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</si>
  <si>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</si>
  <si>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</si>
  <si>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</si>
  <si>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</si>
  <si>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</si>
  <si>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</si>
  <si>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</si>
  <si>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</si>
  <si>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</si>
  <si>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</si>
  <si>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</si>
  <si>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</si>
  <si>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</si>
  <si>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</si>
  <si>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</si>
  <si>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</si>
  <si>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</si>
  <si>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</si>
  <si>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</si>
  <si>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</si>
  <si>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</si>
  <si>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</si>
  <si>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</si>
  <si>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</si>
  <si>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</si>
  <si>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</si>
  <si>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</si>
  <si>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</si>
  <si>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</si>
  <si>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</si>
  <si>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</si>
  <si>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</si>
  <si>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</si>
  <si>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</si>
  <si>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</si>
  <si>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</si>
  <si>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</si>
  <si>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</si>
  <si>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</si>
  <si>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</si>
  <si>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</si>
  <si>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</si>
  <si>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</si>
  <si>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</si>
  <si>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</si>
  <si>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</si>
  <si>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</si>
  <si>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</si>
  <si>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</si>
  <si>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</si>
  <si>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</si>
  <si>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</si>
  <si>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</si>
  <si>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</si>
  <si>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</si>
  <si>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</si>
  <si>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</si>
  <si>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</si>
  <si>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</si>
  <si>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</si>
  <si>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</si>
  <si>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</si>
  <si>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</si>
  <si>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</si>
  <si>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</si>
  <si>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</si>
  <si>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</si>
  <si>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</si>
  <si>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</si>
  <si>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</si>
  <si>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</si>
  <si>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</si>
  <si>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</si>
  <si>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</si>
  <si>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</si>
  <si>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</si>
  <si>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</si>
  <si>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</si>
  <si>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</si>
  <si>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</si>
  <si>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</si>
  <si>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</si>
  <si>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</si>
  <si>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</si>
  <si>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</si>
  <si>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</si>
  <si>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</si>
  <si>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</si>
  <si>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</si>
  <si>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</si>
  <si>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</si>
  <si>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</si>
  <si>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</si>
  <si>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</si>
  <si>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</si>
  <si>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</si>
  <si>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</si>
  <si>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</si>
  <si>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</si>
  <si>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</si>
  <si>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</si>
  <si>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</si>
  <si>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</si>
  <si>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</si>
  <si>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</si>
  <si>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</si>
  <si>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</si>
  <si>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</si>
  <si>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</si>
  <si>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</si>
  <si>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</si>
  <si>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</si>
  <si>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</si>
  <si>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</si>
  <si>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</si>
  <si>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</si>
  <si>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</si>
  <si>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</si>
  <si>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</si>
  <si>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</si>
  <si>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</si>
  <si>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</si>
  <si>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</si>
  <si>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</si>
  <si>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</si>
  <si>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</si>
  <si>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</si>
  <si>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</si>
  <si>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</si>
  <si>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</si>
  <si>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</si>
  <si>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</si>
  <si>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</si>
  <si>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</si>
  <si>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</si>
  <si>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</si>
  <si>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</si>
  <si>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</si>
  <si>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</si>
  <si>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</si>
  <si>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</si>
  <si>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</si>
  <si>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</si>
  <si>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</si>
  <si>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</si>
  <si>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</si>
  <si>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</si>
  <si>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</si>
  <si>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</si>
  <si>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</si>
  <si>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</si>
  <si>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</si>
  <si>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</si>
  <si>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</si>
  <si>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</si>
  <si>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</si>
  <si>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</si>
  <si>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</si>
  <si>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</si>
  <si>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</si>
  <si>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</si>
  <si>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</si>
  <si>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</si>
  <si>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</si>
  <si>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</si>
  <si>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</si>
  <si>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</si>
  <si>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</si>
  <si>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</si>
  <si>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</si>
  <si>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</si>
  <si>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</si>
  <si>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</si>
  <si>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</si>
  <si>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</si>
  <si>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</si>
  <si>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</si>
  <si>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</si>
  <si>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</si>
  <si>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</si>
  <si>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</si>
  <si>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</si>
  <si>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</si>
  <si>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</si>
  <si>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</si>
  <si>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</si>
  <si>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</si>
  <si>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</si>
  <si>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</si>
  <si>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</si>
  <si>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</si>
  <si>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</si>
  <si>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</si>
  <si>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</si>
  <si>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</si>
  <si>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</si>
  <si>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</si>
  <si>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</si>
  <si>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</si>
  <si>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</si>
  <si>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</si>
  <si>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</si>
  <si>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</si>
  <si>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</si>
  <si>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</si>
  <si>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</si>
  <si>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</si>
  <si>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</si>
  <si>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</si>
  <si>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</si>
  <si>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</si>
  <si>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</si>
  <si>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</si>
  <si>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</si>
  <si>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</si>
  <si>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</si>
  <si>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</si>
  <si>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</si>
  <si>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</si>
  <si>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</si>
  <si>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</si>
  <si>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</si>
  <si>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</si>
  <si>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</si>
  <si>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</si>
  <si>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</si>
  <si>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</si>
  <si>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</si>
  <si>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</si>
  <si>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</si>
  <si>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</si>
  <si>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</si>
  <si>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</si>
  <si>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</si>
  <si>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</si>
  <si>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</si>
  <si>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</si>
  <si>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</si>
  <si>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</si>
  <si>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</si>
  <si>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</si>
  <si>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</si>
  <si>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</si>
  <si>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</si>
  <si>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</si>
  <si>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</si>
  <si>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</si>
  <si>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</si>
  <si>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</si>
  <si>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</si>
  <si>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</si>
  <si>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</si>
  <si>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</si>
  <si>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</si>
  <si>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</si>
  <si>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</si>
  <si>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</si>
  <si>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</si>
  <si>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</si>
  <si>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</si>
  <si>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</si>
  <si>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</si>
  <si>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</si>
  <si>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</si>
  <si>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</si>
  <si>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</si>
  <si>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</si>
  <si>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</si>
  <si>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</si>
  <si>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</si>
  <si>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</si>
  <si>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</si>
  <si>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</si>
  <si>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</si>
  <si>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</si>
  <si>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</si>
  <si>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</si>
  <si>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</si>
  <si>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</si>
  <si>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</si>
  <si>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</si>
  <si>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</si>
  <si>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</si>
  <si>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</si>
  <si>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</si>
  <si>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</si>
  <si>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</si>
  <si>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</si>
  <si>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</si>
  <si>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</si>
  <si>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</si>
  <si>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</si>
  <si>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</si>
  <si>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</si>
  <si>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</si>
  <si>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</si>
  <si>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</si>
  <si>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</si>
  <si>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</si>
  <si>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</si>
  <si>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</si>
  <si>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</si>
  <si>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</si>
  <si>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</si>
  <si>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</si>
  <si>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</si>
  <si>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</si>
  <si>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</si>
  <si>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</si>
  <si>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</si>
  <si>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</si>
  <si>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</si>
  <si>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</si>
  <si>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</si>
  <si>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</si>
  <si>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</si>
  <si>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</si>
  <si>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</si>
  <si>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</si>
  <si>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</si>
  <si>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</si>
  <si>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</si>
  <si>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</si>
  <si>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</si>
  <si>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</si>
  <si>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</si>
  <si>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</si>
  <si>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</si>
  <si>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</si>
  <si>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</si>
  <si>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</si>
  <si>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</si>
  <si>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</si>
  <si>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</si>
  <si>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</si>
  <si>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</si>
  <si>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</si>
  <si>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</si>
  <si>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</si>
  <si>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</si>
  <si>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</si>
  <si>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</si>
  <si>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</si>
  <si>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</si>
  <si>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</si>
  <si>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</si>
  <si>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</si>
  <si>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</si>
  <si>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</si>
  <si>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</si>
  <si>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</si>
  <si>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</si>
  <si>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</si>
  <si>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</si>
  <si>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</si>
  <si>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</si>
  <si>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</si>
  <si>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</si>
  <si>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</si>
  <si>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</si>
  <si>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</si>
  <si>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</si>
  <si>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</si>
  <si>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</si>
  <si>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</si>
  <si>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</si>
  <si>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</si>
  <si>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</si>
  <si>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</si>
  <si>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</si>
  <si>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</si>
  <si>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</si>
  <si>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</si>
  <si>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</si>
  <si>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</si>
  <si>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</si>
  <si>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</si>
  <si>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</si>
  <si>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</si>
  <si>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</si>
  <si>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</si>
  <si>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</si>
  <si>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</si>
  <si>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</si>
  <si>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</si>
  <si>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</si>
  <si>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</si>
  <si>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</si>
  <si>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</si>
  <si>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</si>
  <si>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</si>
  <si>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</si>
  <si>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</si>
  <si>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</si>
  <si>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</si>
  <si>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</si>
  <si>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</si>
  <si>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</si>
  <si>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</si>
  <si>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</si>
  <si>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</si>
  <si>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</si>
  <si>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</si>
  <si>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</si>
  <si>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</si>
  <si>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</si>
  <si>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</si>
  <si>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</si>
  <si>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</si>
  <si>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</si>
  <si>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</si>
  <si>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</si>
  <si>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</si>
  <si>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</si>
  <si>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</si>
  <si>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</si>
  <si>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</si>
  <si>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</si>
  <si>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</si>
  <si>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</si>
  <si>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</si>
  <si>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</si>
  <si>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</si>
  <si>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</si>
  <si>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</si>
  <si>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</si>
  <si>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</si>
  <si>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</si>
  <si>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</si>
  <si>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</si>
  <si>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</si>
  <si>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</si>
  <si>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</si>
  <si>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</si>
  <si>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</si>
  <si>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</si>
  <si>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</si>
  <si>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</si>
  <si>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</si>
  <si>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</si>
  <si>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</si>
  <si>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</si>
  <si>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</si>
  <si>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</si>
  <si>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</si>
  <si>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</si>
  <si>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</si>
  <si>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</si>
  <si>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</si>
  <si>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</si>
  <si>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</si>
  <si>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</si>
  <si>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</si>
  <si>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</si>
  <si>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</si>
  <si>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</si>
  <si>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</si>
  <si>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</si>
  <si>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</si>
  <si>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</si>
  <si>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</si>
  <si>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</si>
  <si>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</si>
  <si>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</si>
  <si>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</si>
  <si>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</si>
  <si>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</si>
  <si>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</si>
  <si>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</si>
  <si>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</si>
  <si>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</si>
  <si>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</si>
  <si>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</si>
  <si>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</si>
  <si>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</si>
  <si>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</si>
  <si>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</si>
  <si>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</si>
  <si>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</si>
  <si>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</si>
  <si>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</si>
  <si>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</si>
  <si>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</si>
  <si>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</si>
  <si>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</si>
  <si>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</si>
  <si>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</si>
  <si>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</si>
  <si>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</si>
  <si>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</si>
  <si>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</si>
  <si>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</si>
  <si>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</si>
  <si>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</si>
  <si>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</si>
  <si>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</si>
  <si>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</si>
  <si>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</si>
  <si>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</si>
  <si>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</si>
  <si>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</si>
  <si>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</si>
  <si>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</si>
  <si>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</si>
  <si>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</si>
  <si>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</si>
  <si>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</si>
  <si>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</si>
  <si>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</si>
  <si>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</si>
  <si>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</si>
  <si>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</si>
  <si>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</si>
  <si>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</si>
  <si>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</si>
  <si>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</si>
  <si>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</si>
  <si>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</si>
  <si>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</si>
  <si>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</si>
  <si>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</si>
  <si>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</si>
  <si>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</si>
  <si>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</si>
  <si>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</si>
  <si>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</si>
  <si>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</si>
  <si>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</si>
  <si>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</si>
  <si>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</si>
  <si>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</si>
  <si>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</si>
  <si>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</si>
  <si>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</si>
  <si>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</si>
  <si>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</si>
  <si>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</si>
  <si>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</si>
  <si>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</si>
  <si>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</si>
  <si>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</si>
  <si>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</si>
  <si>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</si>
  <si>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</si>
  <si>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</si>
  <si>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</si>
  <si>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</si>
  <si>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</si>
  <si>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</si>
  <si>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</si>
  <si>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</si>
  <si>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</si>
  <si>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</si>
  <si>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</si>
  <si>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</si>
  <si>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</si>
  <si>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</si>
  <si>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</si>
  <si>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</si>
  <si>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</si>
  <si>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</si>
  <si>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</si>
  <si>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</si>
  <si>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</si>
  <si>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</si>
  <si>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</si>
  <si>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</si>
  <si>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</si>
  <si>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</si>
  <si>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</si>
  <si>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</si>
  <si>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</si>
  <si>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</si>
  <si>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</si>
  <si>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</si>
  <si>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</si>
  <si>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</si>
  <si>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</si>
  <si>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</si>
  <si>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</si>
  <si>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</si>
  <si>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</si>
  <si>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</si>
  <si>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</si>
  <si>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</si>
  <si>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</si>
  <si>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</si>
  <si>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</si>
  <si>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</si>
  <si>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</si>
  <si>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</si>
  <si>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</si>
  <si>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</si>
  <si>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</si>
  <si>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</si>
  <si>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</si>
  <si>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</si>
  <si>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</si>
  <si>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</si>
  <si>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</si>
  <si>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</si>
  <si>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</si>
  <si>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</si>
  <si>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</si>
  <si>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</si>
  <si>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</si>
  <si>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</si>
  <si>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</si>
  <si>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</si>
  <si>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</si>
  <si>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</si>
  <si>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</si>
  <si>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</si>
  <si>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</si>
  <si>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</si>
  <si>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</si>
  <si>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</si>
  <si>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</si>
  <si>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</si>
  <si>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</si>
  <si>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</si>
  <si>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</si>
  <si>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</si>
  <si>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</si>
  <si>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</si>
  <si>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</si>
  <si>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</si>
  <si>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</si>
  <si>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</si>
  <si>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</si>
  <si>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</si>
  <si>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</si>
  <si>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</si>
  <si>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</si>
  <si>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</si>
  <si>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</si>
  <si>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</si>
  <si>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</si>
  <si>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</si>
  <si>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</si>
  <si>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</si>
  <si>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</si>
  <si>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</si>
  <si>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</si>
  <si>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</si>
  <si>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</si>
  <si>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</si>
  <si>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</si>
  <si>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</si>
  <si>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</si>
  <si>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</si>
  <si>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</si>
  <si>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</si>
  <si>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</si>
  <si>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</si>
  <si>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</si>
  <si>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</si>
  <si>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</si>
  <si>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</si>
  <si>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</si>
  <si>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</si>
  <si>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</si>
  <si>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</si>
  <si>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</si>
  <si>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</si>
  <si>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</si>
  <si>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</si>
  <si>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</si>
  <si>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</si>
  <si>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</si>
  <si>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</si>
  <si>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</si>
  <si>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</si>
  <si>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</si>
  <si>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</si>
  <si>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</si>
  <si>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</si>
  <si>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</si>
  <si>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</si>
  <si>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</si>
  <si>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</si>
  <si>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</si>
  <si>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</si>
  <si>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</si>
  <si>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</si>
  <si>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</si>
  <si>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</si>
  <si>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</si>
  <si>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</si>
  <si>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</si>
  <si>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</si>
  <si>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</si>
  <si>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</si>
  <si>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</si>
  <si>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</si>
  <si>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</si>
  <si>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</si>
  <si>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</si>
  <si>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</si>
  <si>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</si>
  <si>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</si>
  <si>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</si>
  <si>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</si>
  <si>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</si>
  <si>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</si>
  <si>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</si>
  <si>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</si>
  <si>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</si>
  <si>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</si>
  <si>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</si>
  <si>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</si>
  <si>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</si>
  <si>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</si>
  <si>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</si>
  <si>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</si>
  <si>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</si>
  <si>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</si>
  <si>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</si>
  <si>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</si>
  <si>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</si>
  <si>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</si>
  <si>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</si>
  <si>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</si>
  <si>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</si>
  <si>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</si>
  <si>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</si>
  <si>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</si>
  <si>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</si>
  <si>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</si>
  <si>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</si>
  <si>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</si>
  <si>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</si>
  <si>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</si>
  <si>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</si>
  <si>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</si>
  <si>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</si>
  <si>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</si>
  <si>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</si>
  <si>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</si>
  <si>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</si>
  <si>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</si>
  <si>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</si>
  <si>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</si>
  <si>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</si>
  <si>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</si>
  <si>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</si>
  <si>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</si>
  <si>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</si>
  <si>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</si>
  <si>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</si>
  <si>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</si>
  <si>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</si>
  <si>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</si>
  <si>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</si>
  <si>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</si>
  <si>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</si>
  <si>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</si>
  <si>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</si>
  <si>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</si>
  <si>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</si>
  <si>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</si>
  <si>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</si>
  <si>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</si>
  <si>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</si>
  <si>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</si>
  <si>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</si>
  <si>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</si>
  <si>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</si>
  <si>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</si>
  <si>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</si>
  <si>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</si>
  <si>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</si>
  <si>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</si>
  <si>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</si>
  <si>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</si>
  <si>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</si>
  <si>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</si>
  <si>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</si>
  <si>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</si>
  <si>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</si>
  <si>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</si>
  <si>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</si>
  <si>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</si>
  <si>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</si>
  <si>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</si>
  <si>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</si>
  <si>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</si>
  <si>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</si>
  <si>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</si>
  <si>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</si>
  <si>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</si>
  <si>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</si>
  <si>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</si>
  <si>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</si>
  <si>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</si>
  <si>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</si>
  <si>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</si>
  <si>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</si>
  <si>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</si>
  <si>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</si>
  <si>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</si>
  <si>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</si>
  <si>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</si>
  <si>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</si>
  <si>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</si>
  <si>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</si>
  <si>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</si>
  <si>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</si>
  <si>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</si>
  <si>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</si>
  <si>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</si>
  <si>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</si>
  <si>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</si>
  <si>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</si>
  <si>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</si>
  <si>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</si>
  <si>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</si>
  <si>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</si>
  <si>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</si>
  <si>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</si>
  <si>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</si>
  <si>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</si>
  <si>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</si>
  <si>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</si>
  <si>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</si>
  <si>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</si>
  <si>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</si>
  <si>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</si>
  <si>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</si>
  <si>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</si>
  <si>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</si>
  <si>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</si>
  <si>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</si>
  <si>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</si>
  <si>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</si>
  <si>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</si>
  <si>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</si>
  <si>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</si>
  <si>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</si>
  <si>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</si>
  <si>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</si>
  <si>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</si>
  <si>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</si>
  <si>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</si>
  <si>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</si>
  <si>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</si>
  <si>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</si>
  <si>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</si>
  <si>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</si>
  <si>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</si>
  <si>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</si>
  <si>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</si>
  <si>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</si>
  <si>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</si>
  <si>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</si>
  <si>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</si>
  <si>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</si>
  <si>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</si>
  <si>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</si>
  <si>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</si>
  <si>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</si>
  <si>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</si>
  <si>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</si>
  <si>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</si>
  <si>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</si>
  <si>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</si>
  <si>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</si>
  <si>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</si>
  <si>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</si>
  <si>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</si>
  <si>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</si>
  <si>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</si>
  <si>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</si>
  <si>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</si>
  <si>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</si>
  <si>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</si>
  <si>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</si>
  <si>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</si>
  <si>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</si>
  <si>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</si>
  <si>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</si>
  <si>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</si>
  <si>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</si>
  <si>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</si>
  <si>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</si>
  <si>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</si>
  <si>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</si>
  <si>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</si>
  <si>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</si>
  <si>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</si>
  <si>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</si>
  <si>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</si>
  <si>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</si>
  <si>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</si>
  <si>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</si>
  <si>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</si>
  <si>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</si>
  <si>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</si>
  <si>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</si>
  <si>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</si>
  <si>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</si>
  <si>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</si>
  <si>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</si>
  <si>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</si>
  <si>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</si>
  <si>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</si>
  <si>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</si>
  <si>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</si>
  <si>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</si>
  <si>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</si>
  <si>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</si>
  <si>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</si>
  <si>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</si>
  <si>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</si>
  <si>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</si>
  <si>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</si>
  <si>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</si>
  <si>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</si>
  <si>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</si>
  <si>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</si>
  <si>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</si>
  <si>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</si>
  <si>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</si>
  <si>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</si>
  <si>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</si>
  <si>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</si>
  <si>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</si>
  <si>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</si>
  <si>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</si>
  <si>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</si>
  <si>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</si>
  <si>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</si>
  <si>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</si>
  <si>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</si>
  <si>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</si>
  <si>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</si>
  <si>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</si>
  <si>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</si>
  <si>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</si>
  <si>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</si>
  <si>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</si>
  <si>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</si>
  <si>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</si>
  <si>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</si>
  <si>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</si>
  <si>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</si>
  <si>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</si>
  <si>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</si>
  <si>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</si>
  <si>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</si>
  <si>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</si>
  <si>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</si>
  <si>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</si>
  <si>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</si>
  <si>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</si>
  <si>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</si>
  <si>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</si>
  <si>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</si>
  <si>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</si>
  <si>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</si>
  <si>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</si>
  <si>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</si>
  <si>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</si>
  <si>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</si>
  <si>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</si>
  <si>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</si>
  <si>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</si>
  <si>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</si>
  <si>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</si>
  <si>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</si>
  <si>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</si>
  <si>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</si>
  <si>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</si>
  <si>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</si>
  <si>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</si>
  <si>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</si>
  <si>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</si>
  <si>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</si>
  <si>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</si>
  <si>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</si>
  <si>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</si>
  <si>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</si>
  <si>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</si>
  <si>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</si>
  <si>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</si>
  <si>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</si>
  <si>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</si>
  <si>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</si>
  <si>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</si>
  <si>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</si>
  <si>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</si>
  <si>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</si>
  <si>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</si>
  <si>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</si>
  <si>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</si>
  <si>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</si>
  <si>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</si>
  <si>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</si>
  <si>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</si>
  <si>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</si>
  <si>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</si>
  <si>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</si>
  <si>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</si>
  <si>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</si>
  <si>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</si>
  <si>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</si>
  <si>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</si>
  <si>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</si>
  <si>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</si>
  <si>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</si>
  <si>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</si>
  <si>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</si>
  <si>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</si>
  <si>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</si>
  <si>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</si>
  <si>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</si>
  <si>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</si>
  <si>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</si>
  <si>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</si>
  <si>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</si>
  <si>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</si>
  <si>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</si>
  <si>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</si>
  <si>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</si>
  <si>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</si>
  <si>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</si>
  <si>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</si>
  <si>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</si>
  <si>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</si>
  <si>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</si>
  <si>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</si>
  <si>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</si>
  <si>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</si>
  <si>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</si>
  <si>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</si>
  <si>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</si>
  <si>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</si>
  <si>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</si>
  <si>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</si>
  <si>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</si>
  <si>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</si>
  <si>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</si>
  <si>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</si>
  <si>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</si>
  <si>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</si>
  <si>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</si>
  <si>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</si>
  <si>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</si>
  <si>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</si>
  <si>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</si>
  <si>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</si>
  <si>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</si>
  <si>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</si>
  <si>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</si>
  <si>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</si>
  <si>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</si>
  <si>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</si>
  <si>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</si>
  <si>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</si>
  <si>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</si>
  <si>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</si>
  <si>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</si>
  <si>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</si>
  <si>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</si>
  <si>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</si>
  <si>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</si>
  <si>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</si>
  <si>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</si>
  <si>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</si>
  <si>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</si>
  <si>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</si>
  <si>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</si>
  <si>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</si>
  <si>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</si>
  <si>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</si>
  <si>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</si>
  <si>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</si>
  <si>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</si>
  <si>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</si>
  <si>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</si>
  <si>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</si>
  <si>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</si>
  <si>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</si>
  <si>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</si>
  <si>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</si>
  <si>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</si>
  <si>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</si>
  <si>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</si>
  <si>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</si>
  <si>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</si>
  <si>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</si>
  <si>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</si>
  <si>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</si>
  <si>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</si>
  <si>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</si>
  <si>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</si>
  <si>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</si>
  <si>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</si>
  <si>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</si>
  <si>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</si>
  <si>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</si>
  <si>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</si>
  <si>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</si>
  <si>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</si>
  <si>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</si>
  <si>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</si>
  <si>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</si>
  <si>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</si>
  <si>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</si>
  <si>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</si>
  <si>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</si>
  <si>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</si>
  <si>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</si>
  <si>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</si>
  <si>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</si>
  <si>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</si>
  <si>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</si>
  <si>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</si>
  <si>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</si>
  <si>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</si>
  <si>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</si>
  <si>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</si>
  <si>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</si>
  <si>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</si>
  <si>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</si>
  <si>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</si>
  <si>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</si>
  <si>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</si>
  <si>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</si>
  <si>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</si>
  <si>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</si>
  <si>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</si>
  <si>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</si>
  <si>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</si>
  <si>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</si>
  <si>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</si>
  <si>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</si>
  <si>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</si>
  <si>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</si>
  <si>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</si>
  <si>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</si>
  <si>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</si>
  <si>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</si>
  <si>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</si>
  <si>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</si>
  <si>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</si>
  <si>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</si>
  <si>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</si>
  <si>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</si>
  <si>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</si>
  <si>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</si>
  <si>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</si>
  <si>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</si>
  <si>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</si>
  <si>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</si>
  <si>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</si>
  <si>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</si>
  <si>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</si>
  <si>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</si>
  <si>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</si>
  <si>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</si>
  <si>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</si>
  <si>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</si>
  <si>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</si>
  <si>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</si>
  <si>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</si>
  <si>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</si>
  <si>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</si>
  <si>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</si>
  <si>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</si>
  <si>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</si>
  <si>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</si>
  <si>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</si>
  <si>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</si>
  <si>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</si>
  <si>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</si>
  <si>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</si>
  <si>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</si>
  <si>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</si>
  <si>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</si>
  <si>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</si>
  <si>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</si>
  <si>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</si>
  <si>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</si>
  <si>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</si>
  <si>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</si>
  <si>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</si>
  <si>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</si>
  <si>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</si>
  <si>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</si>
  <si>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</si>
  <si>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</si>
  <si>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</si>
  <si>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</si>
  <si>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</si>
  <si>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</si>
  <si>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</si>
  <si>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</si>
  <si>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</si>
  <si>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</si>
  <si>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</si>
  <si>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</si>
  <si>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</si>
  <si>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</si>
  <si>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</si>
  <si>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</si>
  <si>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</si>
  <si>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</si>
  <si>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</si>
  <si>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</si>
  <si>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</si>
  <si>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</si>
  <si>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</si>
  <si>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</si>
  <si>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</si>
  <si>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</si>
  <si>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</si>
  <si>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</si>
  <si>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</si>
  <si>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</si>
  <si>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</si>
  <si>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</si>
  <si>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</si>
  <si>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</si>
  <si>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</si>
  <si>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</si>
  <si>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</si>
  <si>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</si>
  <si>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</si>
  <si>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</si>
  <si>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</si>
  <si>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</si>
  <si>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</si>
  <si>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</si>
  <si>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</si>
  <si>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</si>
  <si>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</si>
  <si>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</si>
  <si>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</si>
  <si>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</si>
  <si>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</si>
  <si>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</si>
  <si>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</si>
  <si>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</si>
  <si>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</si>
  <si>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</si>
  <si>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</si>
  <si>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</si>
  <si>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</si>
  <si>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</si>
  <si>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</si>
  <si>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</si>
  <si>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</si>
  <si>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</si>
  <si>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</si>
  <si>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</si>
  <si>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</si>
  <si>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</si>
  <si>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</si>
  <si>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</si>
  <si>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</si>
  <si>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</si>
  <si>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</si>
  <si>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</si>
  <si>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</si>
  <si>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</si>
  <si>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</si>
  <si>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</si>
  <si>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</si>
  <si>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</si>
  <si>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</si>
  <si>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</si>
  <si>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</si>
  <si>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</si>
  <si>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</si>
  <si>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</si>
  <si>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</si>
  <si>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</si>
  <si>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</si>
  <si>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</si>
  <si>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</si>
  <si>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</si>
  <si>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</si>
  <si>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</si>
  <si>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</si>
  <si>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</si>
  <si>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</si>
  <si>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</si>
  <si>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</si>
  <si>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</si>
  <si>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</si>
  <si>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</si>
  <si>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</si>
  <si>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</si>
  <si>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</si>
  <si>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</si>
  <si>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</si>
  <si>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</si>
  <si>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</si>
  <si>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</si>
  <si>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</si>
  <si>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</si>
  <si>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</si>
  <si>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</si>
  <si>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</si>
  <si>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</si>
  <si>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</si>
  <si>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</si>
  <si>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</si>
  <si>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</si>
  <si>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</si>
  <si>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</si>
  <si>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</si>
  <si>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</si>
  <si>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</si>
  <si>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</si>
  <si>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</si>
  <si>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</si>
  <si>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</si>
  <si>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</si>
  <si>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</si>
  <si>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</si>
  <si>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</si>
  <si>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</si>
  <si>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</si>
  <si>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</si>
  <si>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</si>
  <si>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</si>
  <si>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</si>
  <si>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</si>
  <si>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</si>
  <si>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</si>
  <si>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</si>
  <si>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</si>
  <si>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</si>
  <si>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</si>
  <si>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</si>
  <si>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</si>
  <si>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</si>
  <si>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</si>
  <si>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</si>
  <si>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</si>
  <si>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</si>
  <si>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</si>
  <si>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</si>
  <si>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</si>
  <si>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</si>
  <si>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</si>
  <si>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</si>
  <si>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</si>
  <si>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</si>
  <si>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</si>
  <si>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</si>
  <si>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</si>
  <si>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</si>
  <si>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</si>
  <si>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</si>
  <si>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</si>
  <si>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</si>
  <si>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</si>
  <si>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</si>
  <si>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</si>
  <si>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</si>
  <si>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</si>
  <si>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</si>
  <si>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</si>
  <si>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</si>
  <si>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</si>
  <si>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</si>
  <si>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</si>
  <si>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</si>
  <si>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</si>
  <si>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</si>
  <si>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</si>
  <si>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</si>
  <si>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</si>
  <si>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</si>
  <si>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</si>
  <si>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</si>
  <si>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</si>
  <si>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</si>
  <si>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</si>
  <si>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</si>
  <si>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</si>
  <si>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</si>
  <si>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</si>
  <si>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</si>
  <si>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</si>
  <si>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</si>
  <si>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</si>
  <si>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</si>
  <si>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</si>
  <si>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</si>
  <si>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</si>
  <si>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</si>
  <si>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</si>
  <si>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</si>
  <si>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</si>
  <si>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</si>
  <si>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</si>
  <si>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</si>
  <si>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</si>
  <si>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</si>
  <si>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</si>
  <si>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</si>
  <si>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</si>
  <si>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</si>
  <si>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</si>
  <si>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</si>
  <si>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</si>
  <si>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</si>
  <si>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</si>
  <si>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</si>
  <si>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</si>
  <si>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</si>
  <si>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</si>
  <si>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</si>
  <si>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</si>
  <si>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</si>
  <si>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</si>
  <si>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</si>
  <si>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</si>
  <si>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</si>
  <si>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</si>
  <si>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</si>
  <si>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</si>
  <si>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</si>
  <si>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</si>
  <si>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</si>
  <si>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</si>
  <si>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</si>
  <si>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</si>
  <si>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</si>
  <si>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</si>
  <si>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</si>
  <si>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</si>
  <si>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</si>
  <si>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</si>
  <si>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</si>
  <si>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</si>
  <si>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</si>
  <si>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</si>
  <si>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</si>
  <si>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</si>
  <si>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</si>
  <si>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</si>
  <si>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</si>
  <si>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</si>
  <si>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</si>
  <si>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</si>
  <si>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</si>
  <si>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</si>
  <si>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</si>
  <si>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</si>
  <si>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</si>
  <si>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</si>
  <si>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</si>
  <si>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</si>
  <si>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</si>
  <si>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</si>
  <si>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</si>
  <si>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</si>
  <si>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</si>
  <si>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</si>
  <si>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</si>
  <si>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</si>
  <si>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</si>
  <si>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</si>
  <si>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</si>
  <si>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</si>
  <si>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</si>
  <si>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</si>
  <si>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</si>
  <si>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</si>
  <si>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</si>
  <si>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</si>
  <si>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</si>
  <si>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</si>
  <si>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</si>
  <si>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</si>
  <si>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</si>
  <si>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</si>
  <si>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</si>
  <si>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</si>
  <si>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</si>
  <si>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</si>
  <si>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</si>
  <si>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</si>
  <si>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</si>
  <si>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</si>
  <si>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</si>
  <si>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</si>
  <si>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</si>
  <si>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</si>
  <si>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</si>
  <si>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</si>
  <si>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</si>
  <si>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</si>
  <si>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</si>
  <si>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</si>
  <si>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</si>
  <si>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</si>
  <si>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</si>
  <si>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</si>
  <si>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</si>
  <si>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</si>
  <si>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</si>
  <si>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</si>
  <si>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</si>
  <si>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</si>
  <si>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</si>
  <si>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</si>
  <si>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</si>
  <si>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</si>
  <si>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</si>
  <si>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</si>
  <si>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</si>
  <si>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</si>
  <si>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</si>
  <si>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</si>
  <si>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</si>
  <si>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</si>
  <si>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</si>
  <si>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</si>
  <si>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</si>
  <si>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</si>
  <si>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</si>
  <si>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</si>
  <si>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</si>
  <si>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</si>
  <si>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</si>
  <si>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</si>
  <si>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</si>
  <si>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</si>
  <si>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</si>
  <si>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</si>
  <si>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</si>
  <si>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</si>
  <si>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</si>
  <si>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</si>
  <si>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</si>
  <si>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</si>
  <si>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</si>
  <si>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</si>
  <si>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</si>
  <si>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</si>
  <si>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</si>
  <si>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</si>
  <si>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</si>
  <si>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</si>
  <si>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</si>
  <si>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</si>
  <si>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</si>
  <si>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</si>
  <si>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</si>
  <si>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</si>
  <si>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</si>
  <si>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</si>
  <si>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</si>
  <si>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</si>
  <si>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</si>
  <si>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</si>
  <si>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</si>
  <si>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</si>
  <si>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</si>
  <si>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</si>
  <si>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</si>
  <si>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</si>
  <si>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</si>
  <si>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</si>
  <si>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</si>
  <si>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</si>
  <si>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</si>
  <si>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</si>
  <si>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</si>
  <si>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</si>
  <si>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</si>
  <si>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</si>
  <si>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</si>
  <si>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</si>
  <si>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</si>
  <si>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</si>
  <si>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</si>
  <si>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</si>
  <si>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</si>
  <si>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</si>
  <si>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</si>
  <si>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</si>
  <si>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</si>
  <si>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</si>
  <si>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</si>
  <si>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</si>
  <si>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</si>
  <si>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</si>
  <si>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</si>
  <si>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</si>
  <si>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</si>
  <si>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</si>
  <si>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</si>
  <si>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</si>
  <si>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</si>
  <si>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</si>
  <si>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</si>
  <si>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</si>
  <si>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</si>
  <si>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</si>
  <si>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</si>
  <si>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</si>
  <si>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</si>
  <si>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</si>
  <si>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</si>
  <si>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</si>
  <si>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</si>
  <si>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</si>
  <si>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</si>
  <si>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</si>
  <si>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</si>
  <si>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</si>
  <si>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</si>
  <si>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</si>
  <si>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</si>
  <si>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</si>
  <si>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</si>
  <si>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</si>
  <si>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</si>
  <si>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</si>
  <si>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</si>
  <si>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</si>
  <si>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</si>
  <si>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</si>
  <si>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</si>
  <si>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</si>
  <si>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</si>
  <si>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</si>
  <si>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</si>
  <si>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</si>
  <si>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</si>
  <si>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</si>
  <si>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</si>
  <si>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</si>
  <si>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</si>
  <si>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</si>
  <si>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</si>
  <si>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</si>
  <si>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</si>
  <si>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</si>
  <si>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</si>
  <si>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</si>
  <si>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</si>
  <si>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</si>
  <si>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</si>
  <si>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</si>
  <si>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</si>
  <si>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</si>
  <si>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</si>
  <si>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</si>
  <si>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</si>
  <si>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</si>
  <si>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</si>
  <si>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</si>
  <si>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</si>
  <si>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</si>
  <si>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</si>
  <si>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</si>
  <si>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</si>
  <si>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</si>
  <si>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</si>
  <si>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</si>
  <si>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</si>
  <si>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</si>
  <si>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</si>
  <si>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</si>
  <si>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</si>
  <si>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</si>
  <si>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</si>
  <si>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</si>
  <si>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</si>
  <si>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</si>
  <si>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</si>
  <si>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</si>
  <si>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</si>
  <si>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</si>
  <si>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</si>
  <si>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</si>
  <si>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</si>
  <si>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</si>
  <si>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</si>
  <si>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</si>
  <si>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</si>
  <si>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</si>
  <si>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</si>
  <si>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</si>
  <si>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</si>
  <si>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</si>
  <si>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</si>
  <si>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</si>
  <si>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</si>
  <si>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</si>
  <si>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</si>
  <si>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</si>
  <si>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</si>
  <si>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</si>
  <si>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</si>
  <si>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</si>
  <si>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</si>
  <si>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</si>
  <si>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</si>
  <si>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</si>
  <si>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</si>
  <si>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</si>
  <si>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</si>
  <si>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</si>
  <si>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</si>
  <si>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</si>
  <si>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</si>
  <si>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</si>
  <si>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</si>
  <si>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</si>
  <si>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</si>
  <si>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</si>
  <si>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</si>
  <si>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</si>
  <si>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</si>
  <si>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</si>
  <si>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</si>
  <si>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</si>
  <si>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</si>
  <si>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</si>
  <si>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</si>
  <si>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</si>
  <si>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</si>
  <si>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</si>
  <si>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</si>
  <si>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</si>
  <si>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</si>
  <si>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</si>
  <si>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</si>
  <si>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</si>
  <si>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</si>
  <si>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</si>
  <si>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</si>
  <si>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</si>
  <si>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</si>
  <si>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</si>
  <si>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</si>
  <si>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</si>
  <si>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</si>
  <si>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</si>
  <si>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</si>
  <si>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</si>
  <si>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</si>
  <si>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</si>
  <si>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</si>
  <si>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</si>
  <si>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</si>
  <si>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</si>
  <si>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</si>
  <si>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</si>
  <si>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</si>
  <si>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</si>
  <si>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</si>
  <si>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</si>
  <si>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</si>
  <si>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</si>
  <si>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</si>
  <si>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</si>
  <si>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</si>
  <si>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</si>
  <si>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</si>
  <si>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</si>
  <si>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</si>
  <si>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</si>
  <si>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</si>
  <si>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</si>
  <si>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</si>
  <si>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</si>
  <si>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</si>
  <si>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</si>
  <si>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</si>
  <si>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</si>
  <si>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</si>
  <si>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</si>
  <si>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</si>
  <si>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</si>
  <si>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</si>
  <si>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</si>
  <si>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</si>
  <si>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</si>
  <si>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</si>
  <si>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</si>
  <si>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</si>
  <si>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</si>
  <si>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</si>
  <si>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</si>
  <si>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</si>
  <si>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</si>
  <si>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</si>
  <si>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</si>
  <si>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</si>
  <si>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</si>
  <si>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</si>
  <si>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</si>
  <si>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</si>
  <si>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</si>
  <si>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</si>
  <si>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</si>
  <si>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</si>
  <si>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</si>
  <si>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</si>
  <si>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</si>
  <si>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</si>
  <si>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</si>
  <si>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</si>
  <si>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</si>
  <si>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</si>
  <si>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</si>
  <si>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</si>
  <si>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</si>
  <si>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</si>
  <si>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</si>
  <si>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</si>
  <si>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</si>
  <si>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</si>
  <si>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</si>
  <si>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</si>
  <si>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</si>
  <si>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</si>
  <si>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</si>
  <si>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</si>
  <si>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</si>
  <si>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</si>
  <si>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</si>
  <si>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</si>
  <si>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</si>
  <si>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</si>
  <si>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</si>
  <si>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</si>
  <si>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</si>
  <si>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</si>
  <si>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</si>
  <si>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</si>
  <si>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</si>
  <si>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</si>
  <si>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</si>
  <si>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</si>
  <si>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</si>
  <si>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</si>
  <si>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</si>
  <si>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</si>
  <si>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</si>
  <si>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</si>
  <si>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</si>
  <si>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</si>
  <si>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</si>
  <si>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</si>
  <si>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</si>
  <si>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</si>
  <si>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</si>
  <si>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</si>
  <si>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</si>
  <si>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</si>
  <si>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</si>
  <si>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</si>
  <si>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</si>
  <si>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</si>
  <si>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</si>
  <si>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</si>
  <si>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</si>
  <si>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</si>
  <si>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</si>
  <si>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</si>
  <si>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</si>
  <si>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</si>
  <si>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</si>
  <si>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</si>
  <si>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</si>
  <si>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</si>
  <si>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</si>
  <si>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</si>
  <si>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</si>
  <si>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</si>
  <si>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</si>
  <si>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</si>
  <si>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</si>
  <si>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</si>
  <si>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</si>
  <si>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</si>
  <si>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</si>
  <si>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</si>
  <si>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</si>
  <si>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</si>
  <si>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</si>
  <si>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</si>
  <si>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</si>
  <si>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</si>
  <si>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</si>
  <si>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</si>
  <si>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</si>
  <si>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</si>
  <si>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</si>
  <si>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</si>
  <si>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</si>
  <si>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</si>
  <si>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</si>
  <si>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</si>
  <si>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</si>
  <si>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</si>
  <si>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</si>
  <si>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</si>
  <si>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</si>
  <si>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</si>
  <si>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</si>
  <si>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</si>
  <si>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</si>
  <si>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</si>
  <si>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</si>
  <si>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</si>
  <si>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</si>
  <si>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</si>
  <si>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</si>
  <si>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</si>
  <si>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</si>
  <si>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</si>
  <si>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</si>
  <si>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</si>
  <si>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</si>
  <si>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</si>
  <si>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</si>
  <si>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</si>
  <si>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</si>
  <si>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</si>
  <si>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</si>
  <si>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</si>
  <si>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</si>
  <si>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</si>
  <si>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</si>
  <si>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</si>
  <si>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</si>
  <si>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</si>
  <si>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</si>
  <si>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</si>
  <si>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</si>
  <si>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</si>
  <si>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</si>
  <si>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</si>
  <si>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</si>
  <si>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</si>
  <si>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</si>
  <si>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</si>
  <si>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</si>
  <si>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</si>
  <si>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</si>
  <si>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</si>
  <si>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</si>
  <si>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</si>
  <si>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</si>
  <si>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</si>
  <si>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</si>
  <si>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</si>
  <si>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</si>
  <si>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</si>
  <si>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</si>
  <si>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</si>
  <si>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</si>
  <si>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</si>
  <si>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</si>
  <si>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</si>
  <si>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</si>
  <si>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</si>
  <si>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</si>
  <si>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</si>
  <si>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</si>
  <si>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</si>
  <si>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</si>
  <si>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</si>
  <si>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</si>
  <si>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</si>
  <si>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</si>
  <si>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</si>
  <si>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</si>
  <si>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</si>
  <si>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</si>
  <si>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</si>
  <si>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</si>
  <si>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</si>
  <si>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</si>
  <si>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</si>
  <si>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</si>
  <si>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</si>
  <si>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</si>
  <si>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</si>
  <si>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</si>
  <si>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</si>
  <si>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</si>
  <si>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</si>
  <si>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</si>
  <si>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</si>
  <si>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</si>
  <si>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</si>
  <si>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</si>
  <si>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</si>
  <si>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</si>
  <si>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</si>
  <si>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</si>
  <si>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</si>
  <si>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</si>
  <si>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</si>
  <si>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</si>
  <si>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</si>
  <si>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</si>
  <si>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</si>
  <si>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</si>
  <si>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</si>
  <si>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</si>
  <si>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</si>
  <si>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</si>
  <si>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</si>
  <si>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</si>
  <si>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</si>
  <si>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</si>
  <si>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</si>
  <si>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</si>
  <si>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</si>
  <si>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</si>
  <si>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</si>
  <si>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</si>
  <si>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</si>
  <si>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</si>
  <si>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</si>
  <si>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</si>
  <si>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</si>
  <si>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</si>
  <si>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</si>
  <si>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</si>
  <si>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</si>
  <si>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</si>
  <si>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</si>
  <si>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</si>
  <si>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</si>
  <si>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</si>
  <si>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</si>
  <si>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</si>
  <si>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</si>
  <si>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</si>
  <si>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</si>
  <si>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</si>
  <si>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</si>
  <si>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</si>
  <si>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</si>
  <si>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</si>
  <si>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</si>
  <si>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</si>
  <si>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</si>
  <si>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</si>
  <si>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</si>
  <si>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</si>
  <si>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</si>
  <si>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</si>
  <si>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</si>
  <si>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</si>
  <si>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</si>
  <si>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</si>
  <si>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</si>
  <si>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</si>
  <si>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</si>
  <si>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</si>
  <si>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</si>
  <si>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</si>
  <si>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</si>
  <si>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</si>
  <si>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</si>
  <si>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</si>
  <si>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</si>
  <si>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</si>
  <si>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</si>
  <si>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</si>
  <si>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</si>
  <si>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</si>
  <si>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</si>
  <si>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</si>
  <si>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</si>
  <si>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</si>
  <si>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</si>
  <si>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</si>
  <si>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</si>
  <si>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</si>
  <si>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</si>
  <si>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</si>
  <si>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</si>
  <si>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</si>
  <si>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</si>
  <si>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</si>
  <si>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</si>
  <si>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</si>
  <si>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</si>
  <si>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</si>
  <si>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</si>
  <si>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</si>
  <si>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</si>
  <si>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</si>
  <si>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</si>
  <si>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</si>
  <si>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</si>
  <si>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</si>
  <si>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</si>
  <si>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</si>
  <si>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</si>
  <si>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</si>
  <si>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</si>
  <si>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</si>
  <si>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</si>
  <si>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</si>
  <si>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</si>
  <si>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</si>
  <si>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</si>
  <si>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</si>
  <si>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</si>
  <si>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</si>
  <si>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</si>
  <si>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</si>
  <si>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</si>
  <si>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</si>
  <si>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</si>
  <si>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</si>
  <si>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</si>
  <si>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</si>
  <si>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</si>
  <si>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</si>
  <si>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</si>
  <si>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</si>
  <si>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</si>
  <si>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</si>
  <si>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</si>
  <si>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</si>
  <si>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</si>
  <si>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</si>
  <si>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</si>
  <si>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</si>
  <si>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</si>
  <si>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</si>
  <si>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</si>
  <si>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</si>
  <si>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</si>
  <si>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</si>
  <si>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</si>
  <si>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</si>
  <si>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</si>
  <si>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</si>
  <si>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</si>
  <si>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</si>
  <si>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</si>
  <si>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</si>
  <si>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</si>
  <si>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</si>
  <si>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</si>
  <si>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</si>
  <si>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</si>
  <si>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</si>
  <si>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</si>
  <si>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</si>
  <si>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</si>
  <si>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</si>
  <si>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</si>
  <si>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</si>
  <si>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</si>
  <si>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</si>
  <si>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</si>
  <si>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</si>
  <si>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</si>
  <si>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</si>
  <si>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</si>
  <si>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</si>
  <si>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</si>
  <si>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</si>
  <si>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</si>
  <si>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</si>
  <si>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</si>
  <si>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</si>
  <si>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</si>
  <si>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</si>
  <si>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</si>
  <si>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</si>
  <si>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</si>
  <si>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</si>
  <si>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</si>
  <si>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</si>
  <si>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</si>
  <si>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</si>
  <si>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</si>
  <si>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</si>
  <si>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</si>
  <si>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</si>
  <si>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</si>
  <si>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</si>
  <si>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</si>
  <si>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</si>
  <si>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</si>
  <si>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</si>
  <si>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</si>
  <si>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</si>
  <si>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</si>
  <si>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</si>
  <si>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</si>
  <si>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</si>
  <si>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</si>
  <si>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</si>
  <si>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</si>
  <si>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</si>
  <si>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</si>
  <si>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</si>
  <si>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</si>
  <si>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</si>
  <si>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</si>
  <si>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</si>
  <si>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</si>
  <si>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</si>
  <si>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</si>
  <si>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</si>
  <si>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</si>
  <si>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</si>
  <si>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</si>
  <si>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</si>
  <si>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</si>
  <si>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</si>
  <si>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</si>
  <si>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</si>
  <si>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</si>
  <si>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</si>
  <si>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</si>
  <si>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</si>
  <si>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</si>
  <si>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</si>
  <si>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</si>
  <si>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</si>
  <si>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</si>
  <si>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</si>
  <si>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</si>
  <si>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</si>
  <si>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</si>
  <si>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</si>
  <si>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</si>
  <si>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</si>
  <si>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</si>
  <si>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</si>
  <si>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</si>
  <si>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</si>
  <si>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</si>
  <si>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</si>
  <si>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</si>
  <si>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</si>
  <si>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</si>
  <si>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</si>
  <si>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</si>
  <si>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</si>
  <si>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</si>
  <si>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</si>
  <si>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</si>
  <si>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</si>
  <si>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</si>
  <si>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</si>
  <si>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</si>
  <si>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</si>
  <si>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</si>
  <si>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</si>
  <si>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</si>
  <si>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</si>
  <si>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</si>
  <si>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</si>
  <si>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</si>
  <si>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</si>
  <si>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</si>
  <si>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</si>
  <si>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</si>
  <si>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</si>
  <si>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</si>
  <si>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</si>
  <si>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</si>
  <si>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</si>
  <si>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</si>
  <si>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</si>
  <si>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</si>
  <si>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</si>
  <si>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</si>
  <si>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</si>
  <si>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</si>
  <si>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</si>
  <si>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</si>
  <si>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</si>
  <si>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</si>
  <si>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</si>
  <si>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</si>
  <si>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</si>
  <si>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</si>
  <si>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</si>
  <si>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</si>
  <si>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</si>
  <si>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</si>
  <si>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</si>
  <si>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</si>
  <si>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</si>
  <si>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</si>
  <si>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</si>
  <si>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</si>
  <si>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</si>
  <si>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</si>
  <si>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</si>
  <si>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</si>
  <si>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</si>
  <si>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</si>
  <si>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</si>
  <si>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</si>
  <si>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</si>
  <si>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</si>
  <si>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</si>
  <si>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</si>
  <si>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</si>
  <si>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</si>
  <si>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</si>
  <si>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</si>
  <si>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</si>
  <si>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</si>
  <si>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</si>
  <si>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</si>
  <si>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</si>
  <si>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</si>
  <si>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</si>
  <si>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</si>
  <si>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</si>
  <si>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</si>
  <si>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</si>
  <si>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</si>
  <si>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</si>
  <si>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</si>
  <si>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</si>
  <si>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</si>
  <si>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</si>
  <si>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</si>
  <si>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</si>
  <si>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</si>
  <si>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</si>
  <si>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</si>
  <si>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</si>
  <si>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</si>
  <si>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</si>
  <si>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</si>
  <si>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</si>
  <si>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</si>
  <si>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</si>
  <si>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</si>
  <si>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</si>
  <si>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</si>
  <si>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</si>
  <si>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</si>
  <si>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</si>
  <si>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</si>
  <si>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</si>
  <si>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</si>
  <si>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</si>
  <si>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</si>
  <si>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</si>
  <si>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</si>
  <si>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</si>
  <si>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</si>
  <si>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</si>
  <si>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</si>
  <si>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</si>
  <si>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</si>
  <si>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</si>
  <si>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</si>
  <si>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</si>
  <si>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</si>
  <si>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</si>
  <si>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</si>
  <si>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</si>
  <si>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</si>
  <si>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</si>
  <si>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</si>
  <si>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</si>
  <si>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</si>
  <si>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</si>
  <si>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</si>
  <si>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</si>
  <si>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</si>
  <si>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</si>
  <si>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</si>
  <si>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</si>
  <si>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</si>
  <si>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</si>
  <si>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</si>
  <si>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</si>
  <si>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</si>
  <si>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</si>
  <si>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</si>
  <si>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</si>
  <si>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</si>
  <si>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</si>
  <si>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</si>
  <si>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</si>
  <si>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</si>
  <si>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</si>
  <si>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</si>
  <si>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</si>
  <si>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</si>
  <si>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</si>
  <si>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</si>
  <si>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</si>
  <si>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</si>
  <si>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</si>
  <si>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</si>
  <si>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</si>
  <si>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</si>
  <si>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</si>
  <si>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</si>
  <si>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</si>
  <si>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</si>
  <si>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</si>
  <si>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</si>
  <si>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</si>
  <si>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</si>
  <si>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</si>
  <si>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</si>
  <si>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</si>
  <si>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</si>
  <si>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</si>
  <si>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</si>
  <si>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</si>
  <si>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</si>
  <si>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</si>
  <si>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</si>
  <si>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</si>
  <si>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</si>
  <si>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</si>
  <si>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</si>
  <si>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</si>
  <si>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</si>
  <si>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</si>
  <si>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</si>
  <si>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</si>
  <si>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</si>
  <si>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</si>
  <si>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</si>
  <si>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</si>
  <si>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</si>
  <si>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</si>
  <si>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</si>
  <si>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</si>
  <si>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</si>
  <si>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</si>
  <si>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</si>
  <si>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</si>
  <si>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</si>
  <si>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</si>
  <si>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</si>
  <si>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</si>
  <si>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</si>
  <si>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</si>
  <si>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</si>
  <si>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</si>
  <si>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</si>
  <si>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</si>
  <si>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</si>
  <si>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</si>
  <si>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</si>
  <si>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</si>
  <si>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</si>
  <si>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</si>
  <si>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</si>
  <si>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</si>
  <si>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</si>
  <si>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</si>
  <si>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</si>
  <si>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</si>
  <si>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</si>
  <si>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</si>
  <si>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</si>
  <si>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</si>
  <si>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</si>
  <si>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</si>
  <si>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</si>
  <si>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</si>
  <si>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</si>
  <si>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</si>
  <si>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</si>
  <si>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</si>
  <si>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</si>
  <si>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</si>
  <si>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</si>
  <si>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</si>
  <si>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</si>
  <si>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</si>
  <si>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</si>
  <si>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</si>
  <si>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</si>
  <si>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</si>
  <si>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</si>
  <si>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</si>
  <si>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</si>
  <si>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</si>
  <si>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</si>
  <si>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</si>
  <si>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</si>
  <si>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</si>
  <si>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</si>
  <si>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</si>
  <si>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</si>
  <si>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</si>
  <si>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</si>
  <si>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</si>
  <si>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</si>
  <si>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</si>
  <si>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</si>
  <si>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</si>
  <si>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</si>
  <si>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</si>
  <si>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</si>
  <si>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</si>
  <si>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</si>
  <si>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</si>
  <si>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</si>
  <si>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</si>
  <si>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</si>
  <si>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</si>
  <si>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</si>
  <si>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</si>
  <si>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</si>
  <si>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</si>
  <si>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</si>
  <si>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</si>
  <si>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</si>
  <si>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</si>
  <si>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</si>
  <si>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</si>
  <si>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</si>
  <si>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</si>
  <si>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</si>
  <si>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</si>
  <si>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</si>
  <si>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</si>
  <si>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</si>
  <si>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</si>
  <si>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</si>
  <si>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</si>
  <si>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</si>
  <si>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</si>
  <si>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</si>
  <si>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</si>
  <si>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</si>
  <si>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</si>
  <si>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</si>
  <si>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</si>
  <si>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</si>
  <si>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</si>
  <si>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</si>
  <si>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</si>
  <si>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</si>
  <si>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</si>
  <si>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</si>
  <si>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</si>
  <si>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</si>
  <si>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</si>
  <si>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</si>
  <si>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</si>
  <si>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</si>
  <si>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</si>
  <si>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</si>
  <si>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</si>
  <si>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</si>
  <si>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</si>
  <si>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</si>
  <si>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</si>
  <si>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</si>
  <si>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</si>
  <si>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</si>
  <si>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</si>
  <si>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</si>
  <si>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</si>
  <si>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</si>
  <si>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</si>
  <si>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</si>
  <si>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</si>
  <si>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</si>
  <si>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</si>
  <si>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</si>
  <si>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</si>
  <si>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</si>
  <si>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</si>
  <si>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</si>
  <si>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</si>
  <si>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</si>
  <si>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</si>
  <si>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</si>
  <si>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</si>
  <si>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</si>
  <si>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</si>
  <si>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</si>
  <si>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</si>
  <si>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</si>
  <si>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</si>
  <si>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</si>
  <si>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</si>
  <si>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</si>
  <si>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</si>
  <si>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</si>
  <si>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</si>
  <si>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</si>
  <si>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</si>
  <si>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</si>
  <si>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</si>
  <si>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</si>
  <si>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</si>
  <si>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</si>
  <si>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</si>
  <si>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</si>
  <si>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</si>
  <si>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</si>
  <si>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</si>
  <si>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</si>
  <si>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</si>
  <si>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</si>
  <si>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</si>
  <si>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</si>
  <si>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</si>
  <si>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</si>
  <si>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</si>
  <si>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</si>
  <si>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</si>
  <si>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</si>
  <si>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</si>
  <si>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</si>
  <si>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</si>
  <si>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</si>
  <si>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</si>
  <si>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</si>
  <si>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</si>
  <si>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</si>
  <si>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</si>
  <si>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</si>
  <si>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</si>
  <si>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</si>
  <si>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</si>
  <si>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</si>
  <si>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</si>
  <si>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</si>
  <si>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</si>
  <si>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</si>
  <si>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</si>
  <si>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</si>
  <si>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</si>
  <si>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</si>
  <si>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</si>
  <si>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</si>
  <si>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</si>
  <si>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</si>
  <si>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</si>
  <si>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</si>
  <si>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</si>
  <si>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</si>
  <si>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</si>
  <si>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</si>
  <si>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</si>
  <si>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</si>
  <si>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</si>
  <si>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</si>
  <si>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</si>
  <si>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</si>
  <si>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</si>
  <si>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</si>
  <si>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</si>
  <si>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</si>
  <si>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</si>
  <si>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</si>
  <si>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</si>
  <si>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</si>
  <si>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</si>
  <si>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</si>
  <si>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</si>
  <si>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</si>
  <si>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</si>
  <si>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</si>
  <si>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</si>
  <si>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</si>
  <si>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</si>
  <si>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</si>
  <si>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</si>
  <si>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</si>
  <si>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</si>
  <si>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</si>
  <si>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</si>
  <si>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</si>
  <si>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</si>
  <si>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</si>
  <si>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</si>
  <si>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</si>
  <si>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</si>
  <si>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</si>
  <si>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</si>
  <si>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</si>
  <si>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</si>
  <si>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</si>
  <si>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</si>
  <si>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</si>
  <si>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</si>
  <si>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</si>
  <si>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</si>
  <si>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</si>
  <si>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</si>
  <si>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</si>
  <si>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</si>
  <si>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</si>
  <si>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</si>
  <si>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</si>
  <si>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</si>
  <si>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</si>
  <si>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</si>
  <si>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</si>
  <si>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</si>
  <si>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</si>
  <si>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</si>
  <si>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</si>
  <si>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</si>
  <si>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</si>
  <si>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</si>
  <si>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</si>
  <si>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</si>
  <si>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</si>
  <si>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</si>
  <si>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</si>
  <si>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</si>
  <si>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</si>
  <si>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</si>
  <si>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</si>
  <si>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</si>
  <si>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</si>
  <si>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</si>
  <si>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</si>
  <si>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</si>
  <si>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</si>
  <si>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</si>
  <si>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</si>
  <si>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</si>
  <si>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</si>
  <si>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</si>
  <si>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</si>
  <si>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</si>
  <si>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</si>
  <si>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</si>
  <si>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</si>
  <si>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</si>
  <si>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</si>
  <si>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</si>
  <si>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</si>
  <si>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</si>
  <si>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</si>
  <si>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</si>
  <si>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</si>
  <si>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</si>
  <si>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</si>
  <si>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</si>
  <si>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</si>
  <si>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</si>
  <si>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</si>
  <si>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</si>
  <si>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</si>
  <si>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</si>
  <si>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</si>
  <si>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</si>
  <si>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</si>
  <si>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</si>
  <si>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</si>
  <si>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</si>
  <si>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</si>
  <si>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</si>
  <si>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</si>
  <si>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</si>
  <si>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</si>
  <si>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</si>
  <si>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</si>
  <si>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</si>
  <si>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</si>
  <si>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</si>
  <si>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</si>
  <si>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</si>
  <si>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</si>
  <si>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</si>
  <si>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</si>
  <si>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</si>
  <si>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</si>
  <si>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</si>
  <si>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</si>
  <si>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</si>
  <si>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</si>
  <si>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</si>
  <si>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</si>
  <si>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</si>
  <si>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</si>
  <si>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</si>
  <si>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</si>
  <si>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</si>
  <si>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</si>
  <si>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</si>
  <si>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</si>
  <si>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</si>
  <si>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</si>
  <si>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</si>
  <si>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</si>
  <si>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</si>
  <si>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</si>
  <si>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</si>
  <si>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</si>
  <si>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</si>
  <si>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</si>
  <si>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</si>
  <si>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</si>
  <si>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</si>
  <si>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</si>
  <si>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</si>
  <si>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</si>
  <si>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</si>
  <si>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</si>
  <si>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</si>
  <si>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</si>
  <si>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</si>
  <si>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</si>
  <si>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</si>
  <si>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</si>
  <si>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</si>
  <si>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</si>
  <si>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</si>
  <si>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</si>
  <si>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</si>
  <si>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</si>
  <si>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</si>
  <si>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</si>
  <si>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</si>
  <si>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</si>
  <si>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</si>
  <si>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</si>
  <si>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</si>
  <si>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</si>
  <si>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</si>
  <si>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</si>
  <si>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</si>
  <si>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</si>
  <si>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</si>
  <si>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</si>
  <si>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</si>
  <si>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</si>
  <si>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</si>
  <si>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</si>
  <si>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</si>
  <si>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</si>
  <si>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</si>
  <si>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</si>
  <si>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</si>
  <si>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</si>
  <si>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</si>
  <si>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</si>
  <si>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</si>
  <si>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</si>
  <si>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</si>
  <si>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</si>
  <si>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</si>
  <si>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</si>
  <si>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</si>
  <si>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</si>
  <si>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</si>
  <si>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</si>
  <si>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</si>
  <si>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</si>
  <si>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</si>
  <si>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</si>
  <si>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</si>
  <si>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</si>
  <si>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</si>
  <si>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</si>
  <si>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</si>
  <si>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</si>
  <si>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</si>
  <si>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</si>
  <si>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</si>
  <si>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</si>
  <si>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</si>
  <si>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</si>
  <si>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</si>
  <si>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</si>
  <si>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</si>
  <si>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</si>
  <si>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</si>
  <si>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</si>
  <si>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</si>
  <si>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</si>
  <si>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</si>
  <si>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</si>
  <si>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</si>
  <si>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</si>
  <si>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</si>
  <si>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</si>
  <si>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</si>
  <si>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</si>
  <si>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</si>
  <si>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</si>
  <si>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</si>
  <si>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</si>
  <si>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</si>
  <si>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</si>
  <si>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</si>
  <si>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</si>
  <si>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</si>
  <si>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</si>
  <si>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</si>
  <si>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</si>
  <si>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</si>
  <si>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</si>
  <si>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</si>
  <si>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</si>
  <si>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</si>
  <si>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</si>
  <si>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</si>
  <si>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</si>
  <si>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</si>
  <si>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</si>
  <si>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</si>
  <si>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</si>
  <si>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</si>
  <si>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</si>
  <si>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</si>
  <si>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</si>
  <si>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</si>
  <si>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</si>
  <si>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</si>
  <si>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</si>
  <si>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</si>
  <si>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</si>
  <si>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</si>
  <si>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</si>
  <si>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</si>
  <si>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</si>
  <si>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</si>
  <si>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</si>
  <si>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</si>
  <si>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</si>
  <si>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</si>
  <si>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</si>
  <si>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</si>
  <si>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</si>
  <si>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</si>
  <si>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</si>
  <si>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</si>
  <si>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</si>
  <si>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</si>
  <si>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</si>
  <si>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</si>
  <si>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</si>
  <si>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</si>
  <si>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</si>
  <si>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</si>
  <si>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</si>
  <si>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</si>
  <si>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</si>
  <si>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</si>
  <si>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</si>
  <si>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</si>
  <si>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</si>
  <si>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</si>
  <si>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</si>
  <si>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</si>
  <si>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</si>
  <si>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</si>
  <si>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</si>
  <si>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</si>
  <si>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</si>
  <si>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</si>
  <si>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</si>
  <si>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</si>
  <si>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</si>
  <si>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</si>
  <si>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</si>
  <si>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</si>
  <si>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</si>
  <si>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</si>
  <si>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</si>
  <si>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</si>
  <si>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</si>
  <si>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</si>
  <si>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</si>
  <si>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</si>
  <si>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</si>
  <si>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</si>
  <si>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</si>
  <si>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</si>
  <si>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</si>
  <si>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</si>
  <si>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</si>
  <si>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</si>
  <si>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</si>
  <si>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</si>
  <si>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</si>
  <si>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</si>
  <si>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</si>
  <si>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</si>
  <si>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</si>
  <si>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</si>
  <si>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</si>
  <si>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</si>
  <si>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</si>
  <si>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</si>
  <si>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</si>
  <si>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</si>
  <si>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</si>
  <si>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</si>
  <si>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</si>
  <si>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</si>
  <si>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</si>
  <si>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</si>
  <si>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</si>
  <si>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</si>
  <si>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</si>
  <si>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</si>
  <si>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</si>
  <si>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</si>
  <si>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</si>
  <si>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</si>
  <si>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</si>
  <si>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</si>
  <si>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</si>
  <si>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</si>
  <si>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</si>
  <si>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</si>
  <si>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</si>
  <si>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</si>
  <si>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</si>
  <si>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</si>
  <si>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</si>
  <si>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</si>
  <si>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</si>
  <si>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</si>
  <si>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</si>
  <si>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</si>
  <si>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</si>
  <si>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</si>
  <si>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</si>
  <si>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</si>
  <si>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</si>
  <si>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</si>
  <si>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</si>
  <si>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</si>
  <si>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</si>
  <si>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</si>
  <si>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</si>
  <si>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</si>
  <si>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</si>
  <si>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</si>
  <si>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</si>
  <si>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</si>
  <si>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</si>
  <si>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</si>
  <si>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</si>
  <si>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</si>
  <si>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</si>
  <si>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</si>
  <si>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</si>
  <si>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</si>
  <si>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</si>
  <si>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</si>
  <si>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</si>
  <si>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</si>
  <si>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</si>
  <si>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</si>
  <si>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</si>
  <si>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</si>
  <si>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</si>
  <si>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</si>
  <si>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</si>
  <si>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</si>
  <si>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</si>
  <si>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</si>
  <si>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</si>
  <si>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</si>
  <si>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</si>
  <si>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</si>
  <si>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</si>
  <si>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</si>
  <si>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</si>
  <si>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</si>
  <si>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</si>
  <si>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</si>
  <si>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</si>
  <si>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</si>
  <si>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</si>
  <si>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</si>
  <si>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</si>
  <si>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</si>
  <si>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</si>
  <si>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</si>
  <si>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</si>
  <si>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</si>
  <si>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</si>
  <si>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</si>
  <si>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</si>
  <si>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</si>
  <si>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</si>
  <si>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</si>
  <si>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</si>
  <si>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</si>
  <si>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</si>
  <si>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</si>
  <si>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</si>
  <si>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</si>
  <si>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</si>
  <si>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</si>
  <si>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</si>
  <si>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</si>
  <si>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</si>
  <si>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</si>
  <si>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</si>
  <si>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</si>
  <si>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</si>
  <si>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</si>
  <si>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</si>
  <si>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</si>
  <si>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</si>
  <si>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</si>
  <si>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</si>
  <si>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</si>
  <si>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</si>
  <si>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</si>
  <si>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</si>
  <si>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</si>
  <si>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</si>
  <si>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</si>
  <si>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</si>
  <si>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</si>
  <si>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</si>
  <si>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</si>
  <si>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</si>
  <si>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</si>
  <si>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</si>
  <si>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</si>
  <si>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</si>
  <si>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</si>
  <si>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</si>
  <si>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</si>
  <si>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</si>
  <si>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</si>
  <si>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</si>
  <si>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</si>
  <si>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</si>
  <si>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</si>
  <si>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</si>
  <si>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</si>
  <si>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</si>
  <si>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</si>
  <si>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</si>
  <si>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</si>
  <si>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</si>
  <si>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</si>
  <si>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</si>
  <si>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</si>
  <si>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</si>
  <si>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</si>
  <si>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</si>
  <si>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</si>
  <si>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</si>
  <si>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</si>
  <si>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</si>
  <si>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</si>
  <si>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</si>
  <si>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</si>
  <si>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</si>
  <si>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</si>
  <si>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</si>
  <si>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</si>
  <si>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</si>
  <si>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</si>
  <si>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</si>
  <si>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</si>
  <si>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</si>
  <si>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</si>
  <si>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</si>
  <si>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</si>
  <si>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</si>
  <si>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</si>
  <si>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</si>
  <si>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</si>
  <si>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</si>
  <si>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</si>
  <si>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</si>
  <si>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</si>
  <si>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</si>
  <si>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</si>
  <si>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</si>
  <si>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</si>
  <si>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</si>
  <si>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</si>
  <si>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</si>
  <si>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</si>
  <si>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</si>
  <si>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</si>
  <si>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</si>
  <si>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</si>
  <si>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</si>
  <si>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</si>
  <si>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</si>
  <si>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</si>
  <si>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</si>
  <si>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</si>
  <si>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</si>
  <si>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</si>
  <si>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</si>
  <si>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</si>
  <si>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</si>
  <si>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</si>
  <si>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</si>
  <si>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</si>
  <si>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</si>
  <si>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</si>
  <si>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</si>
  <si>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</si>
  <si>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</si>
  <si>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</si>
  <si>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</si>
  <si>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</si>
  <si>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</si>
  <si>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</si>
  <si>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</si>
  <si>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</si>
  <si>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</si>
  <si>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</si>
  <si>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</si>
  <si>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</si>
  <si>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</si>
  <si>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</si>
  <si>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</si>
  <si>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</si>
  <si>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</si>
  <si>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</si>
  <si>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</si>
  <si>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</si>
  <si>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</si>
  <si>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</si>
  <si>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</si>
  <si>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</si>
  <si>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</si>
  <si>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</si>
  <si>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</si>
  <si>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</si>
  <si>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</si>
  <si>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</si>
  <si>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</si>
  <si>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</si>
  <si>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</si>
  <si>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</si>
  <si>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</si>
  <si>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</si>
  <si>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</si>
  <si>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</si>
  <si>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</si>
  <si>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</si>
  <si>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</si>
  <si>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</si>
  <si>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</si>
  <si>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</si>
  <si>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</si>
  <si>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</si>
  <si>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</si>
  <si>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</si>
  <si>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</si>
  <si>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</si>
  <si>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</si>
  <si>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</si>
  <si>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</si>
  <si>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</si>
  <si>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</si>
  <si>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</si>
  <si>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</si>
  <si>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</si>
  <si>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</si>
  <si>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</si>
  <si>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</si>
  <si>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</si>
  <si>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</si>
  <si>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</si>
  <si>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</si>
  <si>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</si>
  <si>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</si>
  <si>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</si>
  <si>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</si>
  <si>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</si>
  <si>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</si>
  <si>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</si>
  <si>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</si>
  <si>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</si>
  <si>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</si>
  <si>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</si>
  <si>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</si>
  <si>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</si>
  <si>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</si>
  <si>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</si>
  <si>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</si>
  <si>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</si>
  <si>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</si>
  <si>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</si>
  <si>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</si>
  <si>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</si>
  <si>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</si>
  <si>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</si>
  <si>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</si>
  <si>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</si>
  <si>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</si>
  <si>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</si>
  <si>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</si>
  <si>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</si>
  <si>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</si>
  <si>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</si>
  <si>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</si>
  <si>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</si>
  <si>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</si>
  <si>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</si>
  <si>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</si>
  <si>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</si>
  <si>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</si>
  <si>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</si>
  <si>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</si>
  <si>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</si>
  <si>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</si>
  <si>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</si>
  <si>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</si>
  <si>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</si>
  <si>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</si>
  <si>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</si>
  <si>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</si>
  <si>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</si>
  <si>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</si>
  <si>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</si>
  <si>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</si>
  <si>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</si>
  <si>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</si>
  <si>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</si>
  <si>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</si>
  <si>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</si>
  <si>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</si>
  <si>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</si>
  <si>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</si>
  <si>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</si>
  <si>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</si>
  <si>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</si>
  <si>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</si>
  <si>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</si>
  <si>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</si>
  <si>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</si>
  <si>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</si>
  <si>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</si>
  <si>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</si>
  <si>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</si>
  <si>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</si>
  <si>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</si>
  <si>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</si>
  <si>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</si>
  <si>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</si>
  <si>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</si>
  <si>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</si>
  <si>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</si>
  <si>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</si>
  <si>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</si>
  <si>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</si>
  <si>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</si>
  <si>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</si>
  <si>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</si>
  <si>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</si>
  <si>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</si>
  <si>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</si>
  <si>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</si>
  <si>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</si>
  <si>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</si>
  <si>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</si>
  <si>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</si>
  <si>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</si>
  <si>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</si>
  <si>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</si>
  <si>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</si>
  <si>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</si>
  <si>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</si>
  <si>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</si>
  <si>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</si>
  <si>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</si>
  <si>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</si>
  <si>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</si>
  <si>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</si>
  <si>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</si>
  <si>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</si>
  <si>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</si>
  <si>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</si>
  <si>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</si>
  <si>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</si>
  <si>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</si>
  <si>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</si>
  <si>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</si>
  <si>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</si>
  <si>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</si>
  <si>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</si>
  <si>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</si>
  <si>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</si>
  <si>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</si>
  <si>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</si>
  <si>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</si>
  <si>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</si>
  <si>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</si>
  <si>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</si>
  <si>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</si>
  <si>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</si>
  <si>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</si>
  <si>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</si>
  <si>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</si>
  <si>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</si>
  <si>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</si>
  <si>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</si>
  <si>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</si>
  <si>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</si>
  <si>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</si>
  <si>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</si>
  <si>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</si>
  <si>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</si>
  <si>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</si>
  <si>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</si>
  <si>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</si>
  <si>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</si>
  <si>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</si>
  <si>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</si>
  <si>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</si>
  <si>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</si>
  <si>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</si>
  <si>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</si>
  <si>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</si>
  <si>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</si>
  <si>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</si>
  <si>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</si>
  <si>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</si>
  <si>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</si>
  <si>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</si>
  <si>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</si>
  <si>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</si>
  <si>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</si>
  <si>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</si>
  <si>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</si>
  <si>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</si>
  <si>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</si>
  <si>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</si>
  <si>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</si>
  <si>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</si>
  <si>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</si>
  <si>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</si>
  <si>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</si>
  <si>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</si>
  <si>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</si>
  <si>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</si>
  <si>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</si>
  <si>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</si>
  <si>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</si>
  <si>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</si>
  <si>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</si>
  <si>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</si>
  <si>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</si>
  <si>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</si>
  <si>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</si>
  <si>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</si>
  <si>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</si>
  <si>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</si>
  <si>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</si>
  <si>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</si>
  <si>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</si>
  <si>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</si>
  <si>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</si>
  <si>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</si>
  <si>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</si>
  <si>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</si>
  <si>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</si>
  <si>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</si>
  <si>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</si>
  <si>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</si>
  <si>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</si>
  <si>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</si>
  <si>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</si>
  <si>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</si>
  <si>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</si>
  <si>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</si>
  <si>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</si>
  <si>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</si>
  <si>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</si>
  <si>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</si>
  <si>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</si>
  <si>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</si>
  <si>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</si>
  <si>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</si>
  <si>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</si>
  <si>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</si>
  <si>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</si>
  <si>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</si>
  <si>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</si>
  <si>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</si>
  <si>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</si>
  <si>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</si>
  <si>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</si>
  <si>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</si>
  <si>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</si>
  <si>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</si>
  <si>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</si>
  <si>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</si>
  <si>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</si>
  <si>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</si>
  <si>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</si>
  <si>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</si>
  <si>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</si>
  <si>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</si>
  <si>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</si>
  <si>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</si>
  <si>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</si>
  <si>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</si>
  <si>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</si>
  <si>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</si>
  <si>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</si>
  <si>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</si>
  <si>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</si>
  <si>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</si>
  <si>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</si>
  <si>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</si>
  <si>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</si>
  <si>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</si>
  <si>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</si>
  <si>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</si>
  <si>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</si>
  <si>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</si>
  <si>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</si>
  <si>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</si>
  <si>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</si>
  <si>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</si>
  <si>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</si>
  <si>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</si>
  <si>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</si>
  <si>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</si>
  <si>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</si>
  <si>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</si>
  <si>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</si>
  <si>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</si>
  <si>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</si>
  <si>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</si>
  <si>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</si>
  <si>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</si>
  <si>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</si>
  <si>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</si>
  <si>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</si>
  <si>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</si>
  <si>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</si>
  <si>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</si>
  <si>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</si>
  <si>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</si>
  <si>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</si>
  <si>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</si>
  <si>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</si>
  <si>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</si>
  <si>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</si>
  <si>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</si>
  <si>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</si>
  <si>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</si>
  <si>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</si>
  <si>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</si>
  <si>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</si>
  <si>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</si>
  <si>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</si>
  <si>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</si>
  <si>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</si>
  <si>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</si>
  <si>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</si>
  <si>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</si>
  <si>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</si>
  <si>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</si>
  <si>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</si>
  <si>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</si>
  <si>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</si>
  <si>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</si>
  <si>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</si>
  <si>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</si>
  <si>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</si>
  <si>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</si>
  <si>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</si>
  <si>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</si>
  <si>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</si>
  <si>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</si>
  <si>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</si>
  <si>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</si>
  <si>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</si>
  <si>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</si>
  <si>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</si>
  <si>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</si>
  <si>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</si>
  <si>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</si>
  <si>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</si>
  <si>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</si>
  <si>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</si>
  <si>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</si>
  <si>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</si>
  <si>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</si>
  <si>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</si>
  <si>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</si>
  <si>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</si>
  <si>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</si>
  <si>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</si>
  <si>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</si>
  <si>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</si>
  <si>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</si>
  <si>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</si>
  <si>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</si>
  <si>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</si>
  <si>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</si>
  <si>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</si>
  <si>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</si>
  <si>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</si>
  <si>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</si>
  <si>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</si>
  <si>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</si>
  <si>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</si>
  <si>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</si>
  <si>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</si>
  <si>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</si>
  <si>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</si>
  <si>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</si>
  <si>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</si>
  <si>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</si>
  <si>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</si>
  <si>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</si>
  <si>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</si>
  <si>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</si>
  <si>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</si>
  <si>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</si>
  <si>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</si>
  <si>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</si>
  <si>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</si>
  <si>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</si>
  <si>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</si>
  <si>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</si>
  <si>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</si>
  <si>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</si>
  <si>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</si>
  <si>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</si>
  <si>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</si>
  <si>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</si>
  <si>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</si>
  <si>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</si>
  <si>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</si>
  <si>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</si>
  <si>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</si>
  <si>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</si>
  <si>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</si>
  <si>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</si>
  <si>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</si>
  <si>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</si>
  <si>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</si>
  <si>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</si>
  <si>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</si>
  <si>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</si>
  <si>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</si>
  <si>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</si>
  <si>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</si>
  <si>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</si>
  <si>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</si>
  <si>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</si>
  <si>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</si>
  <si>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</si>
  <si>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</si>
  <si>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</si>
  <si>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</si>
  <si>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</si>
  <si>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</si>
  <si>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</si>
  <si>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</si>
  <si>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</si>
  <si>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</si>
  <si>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</si>
  <si>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</si>
  <si>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</si>
  <si>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</si>
  <si>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</si>
  <si>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</si>
  <si>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</si>
  <si>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</si>
  <si>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</si>
  <si>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</si>
  <si>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</si>
  <si>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</si>
  <si>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</si>
  <si>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</si>
  <si>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</si>
  <si>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</si>
  <si>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</si>
  <si>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</si>
  <si>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</si>
  <si>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</si>
  <si>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</si>
  <si>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</si>
  <si>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</si>
  <si>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</si>
  <si>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</si>
  <si>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</si>
  <si>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</si>
  <si>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</si>
  <si>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</si>
  <si>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</si>
  <si>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</si>
  <si>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</si>
  <si>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</si>
  <si>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</si>
  <si>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</si>
  <si>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</si>
  <si>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</si>
  <si>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</si>
  <si>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</si>
  <si>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</si>
  <si>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</si>
  <si>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</si>
  <si>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</si>
  <si>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</si>
  <si>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</si>
  <si>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</si>
  <si>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</si>
  <si>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</si>
  <si>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</si>
  <si>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</si>
  <si>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</si>
  <si>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</si>
  <si>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</si>
  <si>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</si>
  <si>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</si>
  <si>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</si>
  <si>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</si>
  <si>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</si>
  <si>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</si>
  <si>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</si>
  <si>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</si>
  <si>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</si>
  <si>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</si>
  <si>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</si>
  <si>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</si>
  <si>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</si>
  <si>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</si>
  <si>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</si>
  <si>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</si>
  <si>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</si>
  <si>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</si>
  <si>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</si>
  <si>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</si>
  <si>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</si>
  <si>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</si>
  <si>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</si>
  <si>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</si>
  <si>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</si>
  <si>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</si>
  <si>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</si>
  <si>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</si>
  <si>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</si>
  <si>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</si>
  <si>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</si>
  <si>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</si>
  <si>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</si>
  <si>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</si>
  <si>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</si>
  <si>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</si>
  <si>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</si>
  <si>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</si>
  <si>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</si>
  <si>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</si>
  <si>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</si>
  <si>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</si>
  <si>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</si>
  <si>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</si>
  <si>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</si>
  <si>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</si>
  <si>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</si>
  <si>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</si>
  <si>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</si>
  <si>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</si>
  <si>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</si>
  <si>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</si>
  <si>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</si>
  <si>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</si>
  <si>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</si>
  <si>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</si>
  <si>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</si>
  <si>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</si>
  <si>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</si>
  <si>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</si>
  <si>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</si>
  <si>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</si>
  <si>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</si>
  <si>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</si>
  <si>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</si>
  <si>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</si>
  <si>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</si>
  <si>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</si>
  <si>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</si>
  <si>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</si>
  <si>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</si>
  <si>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</si>
  <si>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</si>
  <si>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</si>
  <si>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</si>
  <si>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</si>
  <si>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</si>
  <si>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</si>
  <si>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</si>
  <si>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</si>
  <si>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</si>
  <si>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</si>
  <si>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</si>
  <si>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</si>
  <si>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</si>
  <si>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</si>
  <si>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</si>
  <si>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</si>
  <si>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</si>
  <si>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</si>
  <si>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</si>
  <si>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</si>
  <si>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</si>
  <si>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</si>
  <si>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</si>
  <si>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</si>
  <si>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</si>
  <si>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</si>
  <si>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</si>
  <si>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</si>
  <si>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</si>
  <si>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</si>
  <si>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</si>
  <si>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</si>
  <si>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</si>
  <si>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</si>
  <si>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</si>
  <si>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</si>
  <si>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</si>
  <si>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</si>
  <si>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</si>
  <si>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</si>
  <si>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</si>
  <si>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</si>
  <si>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</si>
  <si>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</si>
  <si>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</si>
  <si>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</si>
  <si>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</si>
  <si>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</si>
  <si>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</si>
  <si>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</si>
  <si>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</si>
  <si>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</si>
  <si>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</si>
  <si>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</si>
  <si>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</si>
  <si>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</si>
  <si>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</si>
  <si>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</si>
  <si>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</si>
  <si>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</si>
  <si>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</si>
  <si>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</si>
  <si>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</si>
  <si>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</si>
  <si>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</si>
  <si>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</si>
  <si>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</si>
  <si>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</si>
  <si>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</si>
  <si>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</si>
  <si>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</si>
  <si>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</si>
  <si>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</si>
  <si>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</si>
  <si>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</si>
  <si>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</si>
  <si>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</si>
  <si>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</si>
  <si>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</si>
  <si>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</si>
  <si>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</si>
  <si>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</si>
  <si>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</si>
  <si>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</si>
  <si>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</si>
  <si>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</si>
  <si>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</si>
  <si>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</si>
  <si>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</si>
  <si>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</si>
  <si>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</si>
  <si>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</si>
  <si>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</si>
  <si>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</si>
  <si>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</si>
  <si>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</si>
  <si>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</si>
  <si>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</si>
  <si>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</si>
  <si>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</si>
  <si>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</si>
  <si>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</si>
  <si>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</si>
  <si>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</si>
  <si>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</si>
  <si>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</si>
  <si>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</si>
  <si>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</si>
  <si>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</si>
  <si>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</si>
  <si>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</si>
  <si>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</si>
  <si>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</si>
  <si>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</si>
  <si>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</si>
  <si>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</si>
  <si>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</si>
  <si>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</si>
  <si>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</si>
  <si>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</si>
  <si>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</si>
  <si>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</si>
  <si>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</si>
  <si>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</si>
  <si>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</si>
  <si>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</si>
  <si>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</si>
  <si>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</si>
  <si>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</si>
  <si>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</si>
  <si>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</si>
  <si>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</si>
  <si>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</si>
  <si>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</si>
  <si>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</si>
  <si>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</si>
  <si>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</si>
  <si>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</si>
  <si>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</si>
  <si>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</si>
  <si>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</si>
  <si>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</si>
  <si>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</si>
  <si>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</si>
  <si>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</si>
  <si>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</si>
  <si>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</si>
  <si>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</si>
  <si>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</si>
  <si>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</si>
  <si>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</si>
  <si>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</si>
  <si>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</si>
  <si>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</si>
  <si>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</si>
  <si>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</si>
  <si>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</si>
  <si>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</si>
  <si>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</si>
  <si>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</si>
  <si>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</si>
  <si>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</si>
  <si>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</si>
  <si>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</si>
  <si>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</si>
  <si>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</si>
  <si>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</si>
  <si>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</si>
  <si>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</si>
  <si>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</si>
  <si>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</si>
  <si>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</si>
  <si>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</si>
  <si>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</si>
  <si>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</si>
  <si>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</si>
  <si>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</si>
  <si>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</si>
  <si>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</si>
  <si>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</si>
  <si>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</si>
  <si>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</si>
  <si>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</si>
  <si>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</si>
  <si>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</si>
  <si>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</si>
  <si>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</si>
  <si>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</si>
  <si>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</si>
  <si>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</si>
  <si>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</si>
  <si>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</si>
  <si>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</si>
  <si>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</si>
  <si>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</si>
  <si>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</si>
  <si>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</si>
  <si>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</si>
  <si>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</si>
  <si>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</si>
  <si>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</si>
  <si>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</si>
  <si>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</si>
  <si>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</si>
  <si>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</si>
  <si>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</si>
  <si>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</si>
  <si>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</si>
  <si>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</si>
  <si>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</si>
  <si>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</si>
  <si>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</si>
  <si>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</si>
  <si>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</si>
  <si>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</si>
  <si>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</si>
  <si>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</si>
  <si>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</si>
  <si>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</si>
  <si>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</si>
  <si>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</si>
  <si>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</si>
  <si>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</si>
  <si>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</si>
  <si>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</si>
  <si>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</si>
  <si>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</si>
  <si>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</si>
  <si>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</si>
  <si>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</si>
  <si>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</si>
  <si>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</si>
  <si>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</si>
  <si>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</si>
  <si>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</si>
  <si>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</si>
  <si>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</si>
  <si>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</si>
  <si>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</si>
  <si>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</si>
  <si>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</si>
  <si>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</si>
  <si>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</si>
  <si>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</si>
  <si>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</si>
  <si>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</si>
  <si>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</si>
  <si>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</si>
  <si>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</si>
  <si>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</si>
  <si>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</si>
  <si>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</si>
  <si>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</si>
  <si>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</si>
  <si>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</si>
  <si>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</si>
  <si>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</si>
  <si>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</si>
  <si>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</si>
  <si>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</si>
  <si>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</si>
  <si>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</si>
  <si>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</si>
  <si>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</si>
  <si>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</si>
  <si>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</si>
  <si>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</si>
  <si>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</si>
  <si>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</si>
  <si>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</si>
  <si>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</si>
  <si>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</si>
  <si>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</si>
  <si>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</si>
  <si>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</si>
  <si>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</si>
  <si>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</si>
  <si>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</si>
  <si>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</si>
  <si>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</si>
  <si>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</si>
  <si>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</si>
  <si>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</si>
  <si>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</si>
  <si>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</si>
  <si>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</si>
  <si>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</si>
  <si>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</si>
  <si>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</si>
  <si>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</si>
  <si>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</si>
  <si>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</si>
  <si>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</si>
  <si>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</si>
  <si>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</si>
  <si>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</si>
  <si>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</si>
  <si>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</si>
  <si>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</si>
  <si>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</si>
  <si>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</si>
  <si>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</si>
  <si>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</si>
  <si>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</si>
  <si>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</si>
  <si>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</si>
  <si>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</si>
  <si>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</si>
  <si>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</si>
  <si>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</si>
  <si>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</si>
  <si>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</si>
  <si>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</si>
  <si>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</si>
  <si>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</si>
  <si>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</si>
  <si>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</si>
  <si>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</si>
  <si>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</si>
  <si>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</si>
  <si>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</si>
  <si>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</si>
  <si>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</si>
  <si>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</si>
  <si>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</si>
  <si>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</si>
  <si>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</si>
  <si>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</si>
  <si>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</si>
  <si>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</si>
  <si>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</si>
  <si>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</si>
  <si>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</si>
  <si>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</si>
  <si>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</si>
  <si>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</si>
  <si>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</si>
  <si>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</si>
  <si>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</si>
  <si>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</si>
  <si>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</si>
  <si>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</si>
  <si>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</si>
  <si>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</si>
  <si>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</si>
  <si>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</si>
  <si>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</si>
  <si>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</si>
  <si>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</si>
  <si>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</si>
  <si>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</si>
  <si>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</si>
  <si>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</si>
  <si>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</si>
  <si>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</si>
  <si>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</si>
  <si>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</si>
  <si>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</si>
  <si>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</si>
  <si>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</si>
  <si>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</si>
  <si>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</si>
  <si>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</si>
  <si>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</si>
  <si>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</si>
  <si>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</si>
  <si>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</si>
  <si>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</si>
  <si>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</si>
  <si>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</si>
  <si>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</si>
  <si>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</si>
  <si>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</si>
  <si>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</si>
  <si>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</si>
  <si>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</si>
  <si>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</si>
  <si>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</si>
  <si>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</si>
  <si>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</si>
  <si>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</si>
  <si>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</si>
  <si>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</si>
  <si>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</si>
  <si>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</si>
  <si>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</si>
  <si>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</si>
  <si>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</si>
  <si>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</si>
  <si>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</si>
  <si>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</si>
  <si>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</si>
  <si>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</si>
  <si>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</si>
  <si>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</si>
  <si>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</si>
  <si>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</si>
  <si>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</si>
  <si>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</si>
  <si>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</si>
  <si>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</si>
  <si>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</si>
  <si>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</si>
  <si>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</si>
  <si>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</si>
  <si>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</si>
  <si>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</si>
  <si>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</si>
  <si>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</si>
  <si>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</si>
  <si>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</si>
  <si>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</si>
  <si>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</si>
  <si>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</si>
  <si>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</si>
  <si>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</si>
  <si>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</si>
  <si>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</si>
  <si>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</si>
  <si>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</si>
  <si>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</si>
  <si>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</si>
  <si>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</si>
  <si>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</si>
  <si>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</si>
  <si>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</si>
  <si>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</si>
  <si>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</si>
  <si>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</si>
  <si>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</si>
  <si>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</si>
  <si>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</si>
  <si>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</si>
  <si>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</si>
  <si>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</si>
  <si>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</si>
  <si>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</si>
  <si>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</si>
  <si>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</si>
  <si>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</si>
  <si>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</si>
  <si>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</si>
  <si>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</si>
  <si>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</si>
  <si>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</si>
  <si>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</si>
  <si>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</si>
  <si>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</si>
  <si>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</si>
  <si>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</si>
  <si>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</si>
  <si>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</si>
  <si>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</si>
  <si>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</si>
  <si>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</si>
  <si>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</si>
  <si>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</si>
  <si>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</si>
  <si>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</si>
  <si>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</si>
  <si>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</si>
  <si>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</si>
  <si>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</si>
  <si>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</si>
  <si>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</si>
  <si>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</si>
  <si>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</si>
  <si>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</si>
  <si>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</si>
  <si>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</si>
  <si>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</si>
  <si>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</si>
  <si>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</si>
  <si>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</si>
  <si>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</si>
  <si>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</si>
  <si>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</si>
  <si>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</si>
  <si>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</si>
  <si>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</si>
  <si>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</si>
  <si>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</si>
  <si>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</si>
  <si>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</si>
  <si>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</si>
  <si>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</si>
  <si>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</si>
  <si>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</si>
  <si>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</si>
  <si>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</si>
  <si>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</si>
  <si>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</si>
  <si>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</si>
  <si>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</si>
  <si>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</si>
  <si>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</si>
  <si>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</si>
  <si>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</si>
  <si>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</si>
  <si>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</si>
  <si>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</si>
  <si>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</si>
  <si>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</si>
  <si>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</si>
  <si>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</si>
  <si>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</si>
  <si>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</si>
  <si>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</si>
  <si>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</si>
  <si>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</si>
  <si>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</si>
  <si>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</si>
  <si>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</si>
  <si>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</si>
  <si>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</si>
  <si>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</si>
  <si>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</si>
  <si>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</si>
  <si>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</si>
  <si>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</si>
  <si>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</si>
  <si>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</si>
  <si>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</si>
  <si>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</si>
  <si>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</si>
  <si>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</si>
  <si>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</si>
  <si>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</si>
  <si>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</si>
  <si>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</si>
  <si>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</si>
  <si>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</si>
  <si>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</si>
  <si>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</si>
  <si>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</si>
  <si>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</si>
  <si>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</si>
  <si>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</si>
  <si>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</si>
  <si>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</si>
  <si>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</si>
  <si>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</si>
  <si>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</si>
  <si>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</si>
  <si>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</si>
  <si>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</si>
  <si>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</si>
  <si>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</si>
  <si>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</si>
  <si>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</si>
  <si>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</si>
  <si>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</si>
  <si>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</si>
  <si>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</si>
  <si>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</si>
  <si>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</si>
  <si>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</si>
  <si>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</si>
  <si>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</si>
  <si>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</si>
  <si>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</si>
  <si>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</si>
  <si>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</si>
  <si>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</si>
  <si>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</si>
  <si>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</si>
  <si>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</si>
  <si>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</si>
  <si>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</si>
  <si>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</si>
  <si>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</si>
  <si>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</si>
  <si>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</si>
  <si>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</si>
  <si>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</si>
  <si>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</si>
  <si>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</si>
  <si>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</si>
  <si>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</si>
  <si>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</si>
  <si>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</si>
  <si>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</si>
  <si>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</si>
  <si>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</si>
  <si>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</si>
  <si>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</si>
  <si>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</si>
  <si>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</si>
  <si>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</si>
  <si>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</si>
  <si>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</si>
  <si>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</si>
  <si>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</si>
  <si>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</si>
  <si>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</si>
  <si>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</si>
  <si>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</si>
  <si>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</si>
  <si>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</si>
  <si>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</si>
  <si>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</si>
  <si>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</si>
  <si>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</si>
  <si>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</si>
  <si>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</si>
  <si>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</si>
  <si>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</si>
  <si>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</si>
  <si>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</si>
  <si>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</si>
  <si>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</si>
  <si>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</si>
  <si>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</si>
  <si>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</si>
  <si>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</si>
  <si>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</si>
  <si>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</si>
  <si>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</si>
  <si>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</si>
  <si>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</si>
  <si>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</si>
  <si>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</si>
  <si>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</si>
  <si>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</si>
  <si>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</si>
  <si>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</si>
  <si>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</si>
  <si>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</si>
  <si>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</si>
  <si>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</si>
  <si>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</si>
  <si>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</si>
  <si>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</si>
  <si>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</si>
  <si>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</si>
  <si>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</si>
  <si>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</si>
  <si>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</si>
  <si>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</si>
  <si>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</si>
  <si>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</si>
  <si>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</si>
  <si>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</si>
  <si>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</si>
  <si>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</si>
  <si>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</si>
  <si>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</si>
  <si>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</si>
  <si>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</si>
  <si>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</si>
  <si>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</si>
  <si>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</si>
  <si>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</si>
  <si>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</si>
  <si>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</si>
  <si>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</si>
  <si>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</si>
  <si>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</si>
  <si>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</si>
  <si>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</si>
  <si>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</si>
  <si>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</si>
  <si>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</si>
  <si>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</si>
  <si>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</si>
  <si>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</si>
  <si>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</si>
  <si>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</si>
  <si>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</si>
  <si>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</si>
  <si>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</si>
  <si>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</si>
  <si>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</si>
  <si>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</si>
  <si>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</si>
  <si>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</si>
  <si>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</si>
  <si>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</si>
  <si>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</si>
  <si>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</si>
  <si>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</si>
  <si>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</si>
  <si>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</si>
  <si>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</si>
  <si>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</si>
  <si>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</si>
  <si>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</si>
  <si>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</si>
  <si>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</si>
  <si>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</si>
  <si>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</si>
  <si>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</si>
  <si>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</si>
  <si>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</si>
  <si>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</si>
  <si>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</si>
  <si>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</si>
  <si>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</si>
  <si>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</si>
  <si>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</si>
  <si>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</si>
  <si>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</si>
  <si>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</si>
  <si>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</si>
  <si>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</si>
  <si>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</si>
  <si>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</si>
  <si>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</si>
  <si>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</si>
  <si>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</si>
  <si>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</si>
  <si>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</si>
  <si>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</si>
  <si>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</si>
  <si>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</si>
  <si>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</si>
  <si>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</si>
  <si>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</si>
  <si>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</si>
  <si>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</si>
  <si>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</si>
  <si>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</si>
  <si>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</si>
  <si>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</si>
  <si>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</si>
  <si>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</si>
  <si>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</si>
  <si>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</si>
  <si>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</si>
  <si>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</si>
  <si>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</si>
  <si>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</si>
  <si>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</si>
  <si>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</si>
  <si>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</si>
  <si>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</si>
  <si>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</si>
  <si>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</si>
  <si>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</si>
  <si>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</si>
  <si>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</si>
  <si>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</si>
  <si>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</si>
  <si>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</si>
  <si>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</si>
  <si>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</si>
  <si>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</si>
  <si>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</si>
  <si>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</si>
  <si>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</si>
  <si>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</si>
  <si>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</si>
  <si>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</si>
  <si>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</si>
  <si>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</si>
  <si>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</si>
  <si>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</si>
  <si>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</si>
  <si>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</si>
  <si>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</si>
  <si>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</si>
  <si>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</si>
  <si>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</si>
  <si>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</si>
  <si>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</si>
  <si>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</si>
  <si>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</si>
  <si>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</si>
  <si>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</si>
  <si>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</si>
  <si>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</si>
  <si>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</si>
  <si>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</si>
  <si>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</si>
  <si>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</si>
  <si>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</si>
  <si>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</si>
  <si>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</si>
  <si>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</si>
  <si>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</si>
  <si>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</si>
  <si>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</si>
  <si>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</si>
  <si>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</si>
  <si>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</si>
  <si>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</si>
  <si>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</si>
  <si>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</si>
  <si>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</si>
  <si>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</si>
  <si>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</si>
  <si>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</si>
  <si>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</si>
  <si>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</si>
  <si>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</si>
  <si>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</si>
  <si>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</si>
  <si>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</si>
  <si>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</si>
  <si>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</si>
  <si>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</si>
  <si>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</si>
  <si>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</si>
  <si>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</si>
  <si>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</si>
  <si>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</si>
  <si>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</si>
  <si>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</si>
  <si>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</si>
  <si>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</si>
  <si>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</si>
  <si>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</si>
  <si>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</si>
  <si>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</si>
  <si>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</si>
  <si>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</si>
  <si>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</si>
  <si>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</si>
  <si>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</si>
  <si>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</si>
  <si>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</si>
  <si>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</si>
  <si>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</si>
  <si>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</si>
  <si>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</si>
  <si>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</si>
  <si>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</si>
  <si>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</si>
  <si>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</si>
  <si>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</si>
  <si>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</si>
  <si>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</si>
  <si>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</si>
  <si>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</si>
  <si>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</si>
  <si>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</si>
  <si>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</si>
  <si>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</si>
  <si>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</si>
  <si>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</si>
  <si>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</si>
  <si>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</si>
  <si>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</si>
  <si>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</si>
  <si>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</si>
  <si>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</si>
  <si>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</si>
  <si>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</si>
  <si>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</si>
  <si>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</si>
  <si>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</si>
  <si>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</si>
  <si>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</si>
  <si>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</si>
  <si>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</si>
  <si>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</si>
  <si>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</si>
  <si>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</si>
  <si>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</si>
  <si>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</si>
  <si>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</si>
  <si>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</si>
  <si>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</si>
  <si>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</si>
  <si>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</si>
  <si>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</si>
  <si>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</si>
  <si>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</si>
  <si>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</si>
  <si>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</si>
  <si>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</si>
  <si>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</si>
  <si>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</si>
  <si>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</si>
  <si>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</si>
  <si>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</si>
  <si>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</si>
  <si>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</si>
  <si>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</si>
  <si>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</si>
  <si>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</si>
  <si>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</si>
  <si>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</si>
  <si>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</si>
  <si>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</si>
  <si>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</si>
  <si>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</si>
  <si>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</si>
  <si>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</si>
  <si>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</si>
  <si>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</si>
  <si>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</si>
  <si>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</si>
  <si>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</si>
  <si>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</si>
  <si>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</si>
  <si>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</si>
  <si>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</si>
  <si>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</si>
  <si>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</si>
  <si>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</si>
  <si>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</si>
  <si>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</si>
  <si>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</si>
  <si>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</si>
  <si>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</si>
  <si>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</si>
  <si>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</si>
  <si>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</si>
  <si>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</si>
  <si>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</si>
  <si>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</si>
  <si>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</si>
  <si>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</si>
  <si>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</si>
  <si>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</si>
  <si>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</si>
  <si>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</si>
  <si>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</si>
  <si>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</si>
  <si>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</si>
  <si>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</si>
  <si>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</si>
  <si>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</si>
  <si>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</si>
  <si>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</si>
  <si>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</si>
  <si>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</si>
  <si>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</si>
  <si>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</si>
  <si>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</si>
  <si>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</si>
  <si>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</si>
  <si>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</si>
  <si>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</si>
  <si>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</si>
  <si>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</si>
  <si>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</si>
  <si>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</si>
  <si>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</si>
  <si>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</si>
  <si>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</si>
  <si>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</si>
  <si>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</si>
  <si>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</si>
  <si>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</si>
  <si>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</si>
  <si>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</si>
  <si>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</si>
  <si>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</si>
  <si>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</si>
  <si>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</si>
  <si>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</si>
  <si>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</si>
  <si>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</si>
  <si>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</si>
  <si>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</si>
  <si>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</si>
  <si>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</si>
  <si>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</si>
  <si>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</si>
  <si>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</si>
  <si>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</si>
  <si>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</si>
  <si>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</si>
  <si>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</si>
  <si>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</si>
  <si>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</si>
  <si>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</si>
  <si>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</si>
  <si>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</si>
  <si>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</si>
  <si>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</si>
  <si>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</si>
  <si>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</si>
  <si>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</si>
  <si>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</si>
  <si>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</si>
  <si>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</si>
  <si>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</si>
  <si>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</si>
  <si>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</si>
  <si>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</si>
  <si>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</si>
  <si>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</si>
  <si>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</si>
  <si>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</si>
  <si>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</si>
  <si>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</si>
  <si>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</si>
  <si>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</si>
  <si>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</si>
  <si>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</si>
  <si>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</si>
  <si>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</si>
  <si>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</si>
  <si>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</si>
  <si>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</si>
  <si>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</si>
  <si>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</si>
  <si>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</si>
  <si>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</si>
  <si>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</si>
  <si>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</si>
  <si>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</si>
  <si>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</si>
  <si>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</si>
  <si>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</si>
  <si>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</si>
  <si>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</si>
  <si>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</si>
  <si>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</si>
  <si>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</si>
  <si>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</si>
  <si>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</si>
  <si>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</si>
  <si>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</si>
  <si>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</si>
  <si>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</si>
  <si>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2020</t>
  </si>
  <si>
    <t>Jun</t>
  </si>
  <si>
    <t>Jul</t>
  </si>
  <si>
    <t>Aug</t>
  </si>
  <si>
    <t>Sep</t>
  </si>
  <si>
    <t>Years (Order Date)</t>
  </si>
  <si>
    <t>Months (Order Date)</t>
  </si>
  <si>
    <t>Arabic</t>
  </si>
  <si>
    <t>Excelsa</t>
  </si>
  <si>
    <t>Liberica</t>
  </si>
  <si>
    <t>robosta</t>
  </si>
  <si>
    <t>Sum of Sales</t>
  </si>
  <si>
    <t>Apr</t>
  </si>
  <si>
    <t>May</t>
  </si>
  <si>
    <t>2019</t>
  </si>
  <si>
    <t>Jan</t>
  </si>
  <si>
    <t>Feb</t>
  </si>
  <si>
    <t>Mar</t>
  </si>
  <si>
    <t>Oct</t>
  </si>
  <si>
    <t>Nov</t>
  </si>
  <si>
    <t>Dec</t>
  </si>
  <si>
    <t>2021</t>
  </si>
  <si>
    <t>2022</t>
  </si>
  <si>
    <t>Roast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</si>
</sst>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44" formatCode="_(&quot;$&quot;* #,##0.00_);_(&quot;$&quot;* \(#,##0.00\);_(&quot;$&quot;* &quot;-&quot;??_);_(@_)"/>
    <numFmt numFmtId="164" formatCode="0.0"/>
    <numFmt numFmtId="165" formatCode="dd\-mmm\-yyyy"/>
    <numFmt numFmtId="166" formatCode="0.0\ &quot;kg&quot;"/>
    <numFmt numFmtId="167" formatCode="_-[$₹-44A]* #,##0.00_-;\-[$₹-44A]* #,##0.00_-;_-[$₹-44A]* &quot;-&quot;??_-;_-@_-"/>
    <numFmt numFmtId="168" formatCode="[$$-409]#,##0_);\([$$-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2" fontId="0" fillId="0" borderId="0" xfId="1" applyNumberFormat="1" applyFont="1"/>
    <xf numFmtId="41" fontId="0" fillId="0" borderId="0" xfId="0" applyNumberFormat="1"/>
    <xf numFmtId="168" fontId="0" fillId="0" borderId="0" xfId="0" applyNumberFormat="1"/>
  </cellXfs>
  <cellStyles count="2">
    <cellStyle name="Currency" xfId="1" builtinId="4"/>
    <cellStyle name="Normal" xfId="0" builtinId="0"/>
  </cellStyles>
  <dxfs count="36">
    <dxf>
      <numFmt numFmtId="33" formatCode="_(* #,##0_);_(* \(#,##0\);_(* &quot;-&quot;_);_(@_)"/>
    </dxf>
    <dxf>
      <numFmt numFmtId="168" formatCode="[$$-409]#,##0_);\([$$-409]#,##0\)"/>
    </dxf>
    <dxf>
      <numFmt numFmtId="33" formatCode="_(* #,##0_);_(* \(#,##0\);_(* &quot;-&quot;_);_(@_)"/>
    </dxf>
    <dxf>
      <numFmt numFmtId="168" formatCode="[$$-409]#,##0_);\([$$-409]#,##0\)"/>
    </dxf>
    <dxf>
      <numFmt numFmtId="33" formatCode="_(* #,##0_);_(* \(#,##0\);_(* &quot;-&quot;_);_(@_)"/>
    </dxf>
    <dxf>
      <numFmt numFmtId="33" formatCode="_(* #,##0_);_(* \(#,##0\);_(* &quot;-&quot;_);_(@_)"/>
    </dxf>
    <dxf>
      <numFmt numFmtId="33" formatCode="_(* #,##0_);_(* \(#,##0\);_(* &quot;-&quot;_);_(@_)"/>
    </dxf>
    <dxf>
      <numFmt numFmtId="168" formatCode="[$$-409]#,##0_);\([$$-409]#,##0\)"/>
    </dxf>
    <dxf>
      <numFmt numFmtId="33" formatCode="_(* #,##0_);_(* \(#,##0\);_(* &quot;-&quot;_);_(@_)"/>
    </dxf>
    <dxf>
      <numFmt numFmtId="168" formatCode="[$$-409]#,##0_);\([$$-409]#,##0\)"/>
    </dxf>
    <dxf>
      <numFmt numFmtId="33" formatCode="_(* #,##0_);_(* \(#,##0\);_(* &quot;-&quot;_);_(@_)"/>
    </dxf>
    <dxf>
      <numFmt numFmtId="33" formatCode="_(* #,##0_);_(* \(#,##0\);_(* &quot;-&quot;_);_(@_)"/>
    </dxf>
    <dxf>
      <numFmt numFmtId="168" formatCode="[$$-409]#,##0_);\([$$-409]#,##0\)"/>
    </dxf>
    <dxf>
      <numFmt numFmtId="33" formatCode="_(* #,##0_);_(* \(#,##0\);_(* &quot;-&quot;_);_(@_)"/>
    </dxf>
    <dxf>
      <numFmt numFmtId="168" formatCode="[$$-409]#,##0_);\([$$-409]#,##0\)"/>
    </dxf>
    <dxf>
      <numFmt numFmtId="33" formatCode="_(* #,##0_);_(* \(#,##0\);_(* &quot;-&quot;_);_(@_)"/>
    </dxf>
    <dxf>
      <numFmt numFmtId="33" formatCode="_(* #,##0_);_(* \(#,##0\);_(* &quot;-&quot;_);_(@_)"/>
    </dxf>
    <dxf>
      <numFmt numFmtId="33" formatCode="_(* #,##0_);_(* \(#,##0\);_(* &quot;-&quot;_);_(@_)"/>
    </dxf>
    <dxf>
      <numFmt numFmtId="0" formatCode="General"/>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theme="1"/>
        <name val="Calibri"/>
        <family val="2"/>
        <scheme val="minor"/>
      </font>
    </dxf>
    <dxf>
      <font>
        <b val="0"/>
        <i val="0"/>
        <sz val="11"/>
        <name val="Calibri"/>
        <family val="2"/>
        <scheme val="minor"/>
      </font>
      <fill>
        <gradientFill type="path">
          <stop position="0">
            <color theme="0"/>
          </stop>
          <stop position="1">
            <color rgb="FF8839D7"/>
          </stop>
        </gradientFill>
      </fill>
      <border>
        <left style="thin">
          <color rgb="FF003CA0"/>
        </left>
        <right style="thin">
          <color rgb="FF003CA0"/>
        </right>
        <top style="thin">
          <color rgb="FF003CA0"/>
        </top>
        <bottom style="thin">
          <color rgb="FF003CA0"/>
        </bottom>
      </border>
    </dxf>
    <dxf>
      <font>
        <b/>
        <i val="0"/>
        <sz val="11"/>
        <color theme="0"/>
        <name val="Calibri"/>
        <family val="2"/>
        <scheme val="minor"/>
      </font>
    </dxf>
    <dxf>
      <font>
        <b val="0"/>
        <i val="0"/>
        <sz val="12"/>
        <color rgb="FF3C1464"/>
        <name val="Calibri Light"/>
        <family val="2"/>
        <scheme val="major"/>
      </font>
      <fill>
        <patternFill>
          <bgColor rgb="FF7030A0"/>
        </patternFill>
      </fill>
      <border>
        <left style="thin">
          <color auto="1"/>
        </left>
        <right style="thin">
          <color auto="1"/>
        </right>
        <top style="thin">
          <color auto="1"/>
        </top>
        <bottom style="thin">
          <color auto="1"/>
        </bottom>
      </border>
    </dxf>
    <dxf>
      <font>
        <b/>
        <i val="0"/>
        <color theme="0"/>
        <name val="Calibri"/>
        <family val="2"/>
        <scheme val="minor"/>
      </font>
    </dxf>
    <dxf>
      <font>
        <b val="0"/>
        <i val="0"/>
        <sz val="12"/>
        <color theme="0"/>
        <name val="Calibri"/>
        <family val="2"/>
        <scheme val="minor"/>
      </font>
      <fill>
        <patternFill>
          <bgColor rgb="FF3C1464"/>
        </patternFill>
      </fill>
    </dxf>
  </dxfs>
  <tableStyles count="3" defaultTableStyle="TableStyleMedium2" defaultPivotStyle="PivotStyleMedium9">
    <tableStyle name="Purple Slicer" pivot="0" table="0" count="5" xr9:uid="{AAB8CB60-5214-40F6-9884-E819DA88F7C2}">
      <tableStyleElement type="wholeTable" dxfId="35"/>
      <tableStyleElement type="headerRow" dxfId="34"/>
    </tableStyle>
    <tableStyle name="Slicer Style 1" pivot="0" table="0" count="6" xr9:uid="{C14874BF-8141-47CF-AF6B-D17B2AF4078D}">
      <tableStyleElement type="wholeTable" dxfId="33"/>
      <tableStyleElement type="headerRow" dxfId="32"/>
    </tableStyle>
    <tableStyle name="Timeline Style 1" pivot="0" table="0" count="8" xr9:uid="{5BA2D684-124F-42AE-85BC-2ED44977BA35}">
      <tableStyleElement type="wholeTable" dxfId="31"/>
      <tableStyleElement type="headerRow" dxfId="30"/>
    </tableStyle>
  </tableStyles>
  <colors>
    <mruColors>
      <color rgb="FF3C1464"/>
      <color rgb="FF005024"/>
      <color rgb="FF99FF99"/>
      <color rgb="FF00CC66"/>
      <color rgb="FF006600"/>
      <color rgb="FFD5B9F1"/>
      <color rgb="FF8839D7"/>
      <color rgb="FF003CA0"/>
      <color rgb="FF8A6600"/>
      <color rgb="FFFFEFC1"/>
    </mruColors>
  </colors>
  <extLst>
    <ext xmlns:x14="http://schemas.microsoft.com/office/spreadsheetml/2009/9/main" uri="{46F421CA-312F-682f-3DD2-61675219B42D}">
      <x14:dxfs count="7">
        <dxf>
          <font>
            <b val="0"/>
            <i/>
            <color theme="0"/>
            <name val="Calibri"/>
            <family val="2"/>
            <scheme val="minor"/>
          </font>
        </dxf>
        <dxf>
          <font>
            <b val="0"/>
            <i val="0"/>
            <sz val="11"/>
            <color theme="0"/>
            <name val="Calibri"/>
            <family val="2"/>
            <scheme val="minor"/>
          </font>
        </dxf>
        <dxf>
          <font>
            <b val="0"/>
            <i val="0"/>
            <sz val="11"/>
            <color theme="0"/>
          </font>
        </dxf>
        <dxf>
          <font>
            <b val="0"/>
            <i val="0"/>
            <sz val="11"/>
            <color theme="0"/>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6"/>
            <x14:slicerStyleElement type="selectedItemWithData" dxfId="5"/>
            <x14:slicerStyleElement type="selectedItemWithNoData" dxfId="4"/>
          </x14:slicerStyleElements>
        </x14:slicerStyle>
        <x14:slicerStyle name="Slicer Style 1">
          <x14:slicerStyleElements>
            <x14:slicerStyleElement type="selectedItemWithData" dxfId="3"/>
            <x14:slicerStyleElement type="selectedItemWithNoData" dxfId="2"/>
            <x14:slicerStyleElement type="hoveredSelectedItemWithData" dxfId="1"/>
            <x14:slicerStyleElement type="hoveredUnselectedItemWithNoData" dxfId="0"/>
          </x14:slicerStyleElements>
        </x14:slicerStyle>
      </x14:slicerStyles>
    </ext>
    <ext xmlns:x15="http://schemas.microsoft.com/office/spreadsheetml/2010/11/main" uri="{A0A4C193-F2C1-4fcb-8827-314CF55A85BB}">
      <x15:dxfs count="6">
        <dxf>
          <fill>
            <patternFill patternType="solid">
              <fgColor auto="1"/>
              <bgColor theme="0"/>
            </patternFill>
          </fill>
        </dxf>
        <dxf>
          <fill>
            <patternFill patternType="solid">
              <fgColor auto="1"/>
              <bgColor rgb="FF002060"/>
            </patternFill>
          </fill>
        </dxf>
        <dxf>
          <font>
            <sz val="9"/>
            <color theme="1"/>
            <name val="Calibri"/>
            <family val="2"/>
            <scheme val="minor"/>
          </font>
        </dxf>
        <dxf>
          <font>
            <b/>
            <i val="0"/>
            <sz val="10"/>
            <color theme="1"/>
            <name val="Calibri"/>
            <family val="2"/>
            <scheme val="minor"/>
          </font>
        </dxf>
        <dxf>
          <font>
            <b/>
            <i val="0"/>
            <sz val="9"/>
            <color theme="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4"/>
  </c:pivotSource>
  <c:chart>
    <c:title>
      <c:tx>
        <c:rich>
          <a:bodyPr rot="0" spcFirstLastPara="1" vertOverflow="ellipsis" vert="horz" wrap="square" anchor="ctr" anchorCtr="1"/>
          <a:lstStyle/>
          <a:p>
            <a:pPr>
              <a:defRPr sz="1400" b="0" i="0" u="none" strike="noStrike" kern="1200" spc="0" baseline="0">
                <a:solidFill>
                  <a:srgbClr val="8839D7"/>
                </a:solidFill>
                <a:latin typeface="+mn-lt"/>
                <a:ea typeface="+mn-ea"/>
                <a:cs typeface="+mn-cs"/>
              </a:defRPr>
            </a:pPr>
            <a:r>
              <a:rPr lang="en-US"/>
              <a:t>Total Sales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839D7"/>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A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8A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8A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839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8BF-4E6B-97DD-490E0734E524}"/>
            </c:ext>
          </c:extLst>
        </c:ser>
        <c:ser>
          <c:idx val="1"/>
          <c:order val="1"/>
          <c:tx>
            <c:strRef>
              <c:f>'total sales'!$D$3:$D$4</c:f>
              <c:strCache>
                <c:ptCount val="1"/>
                <c:pt idx="0">
                  <c:v>Excelsa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8BF-4E6B-97DD-490E0734E524}"/>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8BF-4E6B-97DD-490E0734E524}"/>
            </c:ext>
          </c:extLst>
        </c:ser>
        <c:ser>
          <c:idx val="3"/>
          <c:order val="3"/>
          <c:tx>
            <c:strRef>
              <c:f>'total sales'!$F$3:$F$4</c:f>
              <c:strCache>
                <c:ptCount val="1"/>
                <c:pt idx="0">
                  <c:v>robosta</c:v>
                </c:pt>
              </c:strCache>
            </c:strRef>
          </c:tx>
          <c:spPr>
            <a:ln w="28575" cap="rnd">
              <a:solidFill>
                <a:srgbClr val="8A66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8BF-4E6B-97DD-490E0734E524}"/>
            </c:ext>
          </c:extLst>
        </c:ser>
        <c:dLbls>
          <c:showLegendKey val="0"/>
          <c:showVal val="0"/>
          <c:showCatName val="0"/>
          <c:showSerName val="0"/>
          <c:showPercent val="0"/>
          <c:showBubbleSize val="0"/>
        </c:dLbls>
        <c:smooth val="0"/>
        <c:axId val="1734234480"/>
        <c:axId val="1734234960"/>
      </c:lineChart>
      <c:catAx>
        <c:axId val="173423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839D7"/>
                </a:solidFill>
                <a:latin typeface="+mn-lt"/>
                <a:ea typeface="+mn-ea"/>
                <a:cs typeface="+mn-cs"/>
              </a:defRPr>
            </a:pPr>
            <a:endParaRPr lang="en-US"/>
          </a:p>
        </c:txPr>
        <c:crossAx val="1734234960"/>
        <c:crosses val="autoZero"/>
        <c:auto val="1"/>
        <c:lblAlgn val="ctr"/>
        <c:lblOffset val="100"/>
        <c:noMultiLvlLbl val="0"/>
      </c:catAx>
      <c:valAx>
        <c:axId val="1734234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8839D7"/>
                    </a:solidFill>
                    <a:latin typeface="+mn-lt"/>
                    <a:ea typeface="+mn-ea"/>
                    <a:cs typeface="+mn-cs"/>
                  </a:defRPr>
                </a:pPr>
                <a:r>
                  <a:rPr lang="en-US"/>
                  <a:t>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8839D7"/>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839D7"/>
                </a:solidFill>
                <a:latin typeface="+mn-lt"/>
                <a:ea typeface="+mn-ea"/>
                <a:cs typeface="+mn-cs"/>
              </a:defRPr>
            </a:pPr>
            <a:endParaRPr lang="en-US"/>
          </a:p>
        </c:txPr>
        <c:crossAx val="173423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839D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a:solidFill>
            <a:srgbClr val="8839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8575">
            <a:solidFill>
              <a:schemeClr val="bg1"/>
            </a:solidFill>
          </a:ln>
          <a:effectLst/>
        </c:spPr>
      </c:pivotFmt>
      <c:pivotFmt>
        <c:idx val="2"/>
        <c:spPr>
          <a:solidFill>
            <a:srgbClr val="00CC66"/>
          </a:solidFill>
          <a:ln w="28575">
            <a:solidFill>
              <a:schemeClr val="bg1"/>
            </a:solidFill>
          </a:ln>
          <a:effectLst/>
        </c:spPr>
      </c:pivotFmt>
      <c:pivotFmt>
        <c:idx val="3"/>
        <c:spPr>
          <a:solidFill>
            <a:srgbClr val="99FF99"/>
          </a:solidFill>
          <a:ln w="28575">
            <a:solidFill>
              <a:schemeClr val="bg1"/>
            </a:solidFill>
          </a:ln>
          <a:effectLst/>
        </c:spPr>
      </c:pivotFmt>
      <c:pivotFmt>
        <c:idx val="4"/>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FF99"/>
          </a:solidFill>
          <a:ln w="28575">
            <a:solidFill>
              <a:schemeClr val="bg1"/>
            </a:solidFill>
          </a:ln>
          <a:effectLst/>
        </c:spPr>
      </c:pivotFmt>
      <c:pivotFmt>
        <c:idx val="6"/>
        <c:spPr>
          <a:solidFill>
            <a:srgbClr val="00CC66"/>
          </a:solidFill>
          <a:ln w="28575">
            <a:solidFill>
              <a:schemeClr val="bg1"/>
            </a:solidFill>
          </a:ln>
          <a:effectLst/>
        </c:spPr>
      </c:pivotFmt>
      <c:pivotFmt>
        <c:idx val="7"/>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29547320098498"/>
          <c:y val="0.18527173913043482"/>
          <c:w val="0.74057459033836992"/>
          <c:h val="0.67234637110578566"/>
        </c:manualLayout>
      </c:layout>
      <c:barChart>
        <c:barDir val="bar"/>
        <c:grouping val="clustered"/>
        <c:varyColors val="0"/>
        <c:ser>
          <c:idx val="0"/>
          <c:order val="0"/>
          <c:tx>
            <c:strRef>
              <c:f>'Top 5 Customers'!$B$3</c:f>
              <c:strCache>
                <c:ptCount val="1"/>
                <c:pt idx="0">
                  <c:v>Total</c:v>
                </c:pt>
              </c:strCache>
            </c:strRef>
          </c:tx>
          <c:spPr>
            <a:solidFill>
              <a:srgbClr val="005024"/>
            </a:solidFill>
            <a:ln w="28575">
              <a:solidFill>
                <a:schemeClr val="bg1"/>
              </a:solidFill>
            </a:ln>
            <a:effectLst/>
          </c:spPr>
          <c:invertIfNegative val="0"/>
          <c:dPt>
            <c:idx val="0"/>
            <c:invertIfNegative val="0"/>
            <c:bubble3D val="0"/>
            <c:extLst>
              <c:ext xmlns:c16="http://schemas.microsoft.com/office/drawing/2014/chart" uri="{C3380CC4-5D6E-409C-BE32-E72D297353CC}">
                <c16:uniqueId val="{00000000-91C4-4D87-B90E-44118DBD5C3C}"/>
              </c:ext>
            </c:extLst>
          </c:dPt>
          <c:dPt>
            <c:idx val="1"/>
            <c:invertIfNegative val="0"/>
            <c:bubble3D val="0"/>
            <c:extLst>
              <c:ext xmlns:c16="http://schemas.microsoft.com/office/drawing/2014/chart" uri="{C3380CC4-5D6E-409C-BE32-E72D297353CC}">
                <c16:uniqueId val="{00000001-91C4-4D87-B90E-44118DBD5C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91C4-4D87-B90E-44118DBD5C3C}"/>
            </c:ext>
          </c:extLst>
        </c:ser>
        <c:dLbls>
          <c:dLblPos val="outEnd"/>
          <c:showLegendKey val="0"/>
          <c:showVal val="1"/>
          <c:showCatName val="0"/>
          <c:showSerName val="0"/>
          <c:showPercent val="0"/>
          <c:showBubbleSize val="0"/>
        </c:dLbls>
        <c:gapWidth val="182"/>
        <c:axId val="1217878176"/>
        <c:axId val="1217872896"/>
      </c:barChart>
      <c:catAx>
        <c:axId val="121787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72896"/>
        <c:crosses val="autoZero"/>
        <c:auto val="1"/>
        <c:lblAlgn val="ctr"/>
        <c:lblOffset val="100"/>
        <c:noMultiLvlLbl val="0"/>
      </c:catAx>
      <c:valAx>
        <c:axId val="1217872896"/>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7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wise sales!Total 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8575">
            <a:solidFill>
              <a:schemeClr val="bg1"/>
            </a:solidFill>
          </a:ln>
          <a:effectLst/>
        </c:spPr>
      </c:pivotFmt>
      <c:pivotFmt>
        <c:idx val="2"/>
        <c:spPr>
          <a:solidFill>
            <a:srgbClr val="00CC66"/>
          </a:solidFill>
          <a:ln w="28575">
            <a:solidFill>
              <a:schemeClr val="bg1"/>
            </a:solidFill>
          </a:ln>
          <a:effectLst/>
        </c:spPr>
      </c:pivotFmt>
      <c:pivotFmt>
        <c:idx val="3"/>
        <c:spPr>
          <a:solidFill>
            <a:srgbClr val="99FF99"/>
          </a:solidFill>
          <a:ln w="28575">
            <a:solidFill>
              <a:schemeClr val="bg1"/>
            </a:solidFill>
          </a:ln>
          <a:effectLst/>
        </c:spPr>
      </c:pivotFmt>
      <c:pivotFmt>
        <c:idx val="4"/>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FF99"/>
          </a:solidFill>
          <a:ln w="28575">
            <a:solidFill>
              <a:schemeClr val="bg1"/>
            </a:solidFill>
          </a:ln>
          <a:effectLst/>
        </c:spPr>
      </c:pivotFmt>
      <c:pivotFmt>
        <c:idx val="6"/>
        <c:spPr>
          <a:solidFill>
            <a:srgbClr val="00CC66"/>
          </a:solidFill>
          <a:ln w="28575">
            <a:solidFill>
              <a:schemeClr val="bg1"/>
            </a:solidFill>
          </a:ln>
          <a:effectLst/>
        </c:spPr>
      </c:pivotFmt>
      <c:pivotFmt>
        <c:idx val="7"/>
        <c:spPr>
          <a:solidFill>
            <a:srgbClr val="005024"/>
          </a:solidFill>
          <a:ln w="285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FF99"/>
          </a:solidFill>
          <a:ln w="28575">
            <a:solidFill>
              <a:schemeClr val="bg1"/>
            </a:solidFill>
          </a:ln>
          <a:effectLst/>
        </c:spPr>
      </c:pivotFmt>
      <c:pivotFmt>
        <c:idx val="9"/>
        <c:spPr>
          <a:solidFill>
            <a:srgbClr val="00CC66"/>
          </a:solidFill>
          <a:ln w="28575">
            <a:solidFill>
              <a:schemeClr val="bg1"/>
            </a:solidFill>
          </a:ln>
          <a:effectLst/>
        </c:spPr>
      </c:pivotFmt>
    </c:pivotFmts>
    <c:plotArea>
      <c:layout/>
      <c:barChart>
        <c:barDir val="bar"/>
        <c:grouping val="clustered"/>
        <c:varyColors val="0"/>
        <c:ser>
          <c:idx val="0"/>
          <c:order val="0"/>
          <c:tx>
            <c:strRef>
              <c:f>'Country wise sales'!$B$3</c:f>
              <c:strCache>
                <c:ptCount val="1"/>
                <c:pt idx="0">
                  <c:v>Total</c:v>
                </c:pt>
              </c:strCache>
            </c:strRef>
          </c:tx>
          <c:spPr>
            <a:solidFill>
              <a:srgbClr val="005024"/>
            </a:solidFill>
            <a:ln w="28575">
              <a:solidFill>
                <a:schemeClr val="bg1"/>
              </a:solidFill>
            </a:ln>
            <a:effectLst/>
          </c:spPr>
          <c:invertIfNegative val="0"/>
          <c:dPt>
            <c:idx val="0"/>
            <c:invertIfNegative val="0"/>
            <c:bubble3D val="0"/>
            <c:spPr>
              <a:solidFill>
                <a:srgbClr val="99FF99"/>
              </a:solidFill>
              <a:ln w="28575">
                <a:solidFill>
                  <a:schemeClr val="bg1"/>
                </a:solidFill>
              </a:ln>
              <a:effectLst/>
            </c:spPr>
            <c:extLst>
              <c:ext xmlns:c16="http://schemas.microsoft.com/office/drawing/2014/chart" uri="{C3380CC4-5D6E-409C-BE32-E72D297353CC}">
                <c16:uniqueId val="{00000001-7DD2-45C7-BED4-4C32BA2B7A7D}"/>
              </c:ext>
            </c:extLst>
          </c:dPt>
          <c:dPt>
            <c:idx val="1"/>
            <c:invertIfNegative val="0"/>
            <c:bubble3D val="0"/>
            <c:spPr>
              <a:solidFill>
                <a:srgbClr val="00CC66"/>
              </a:solidFill>
              <a:ln w="28575">
                <a:solidFill>
                  <a:schemeClr val="bg1"/>
                </a:solidFill>
              </a:ln>
              <a:effectLst/>
            </c:spPr>
            <c:extLst>
              <c:ext xmlns:c16="http://schemas.microsoft.com/office/drawing/2014/chart" uri="{C3380CC4-5D6E-409C-BE32-E72D297353CC}">
                <c16:uniqueId val="{00000003-7DD2-45C7-BED4-4C32BA2B7A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sales'!$A$4:$A$6</c:f>
              <c:strCache>
                <c:ptCount val="3"/>
                <c:pt idx="0">
                  <c:v>United Kingdom</c:v>
                </c:pt>
                <c:pt idx="1">
                  <c:v>Ireland</c:v>
                </c:pt>
                <c:pt idx="2">
                  <c:v>United States</c:v>
                </c:pt>
              </c:strCache>
            </c:strRef>
          </c:cat>
          <c:val>
            <c:numRef>
              <c:f>'Country wise sales'!$B$4:$B$6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7DD2-45C7-BED4-4C32BA2B7A7D}"/>
            </c:ext>
          </c:extLst>
        </c:ser>
        <c:dLbls>
          <c:dLblPos val="outEnd"/>
          <c:showLegendKey val="0"/>
          <c:showVal val="1"/>
          <c:showCatName val="0"/>
          <c:showSerName val="0"/>
          <c:showPercent val="0"/>
          <c:showBubbleSize val="0"/>
        </c:dLbls>
        <c:gapWidth val="182"/>
        <c:axId val="1217878176"/>
        <c:axId val="1217872896"/>
      </c:barChart>
      <c:catAx>
        <c:axId val="121787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72896"/>
        <c:crosses val="autoZero"/>
        <c:auto val="1"/>
        <c:lblAlgn val="ctr"/>
        <c:lblOffset val="100"/>
        <c:noMultiLvlLbl val="0"/>
      </c:catAx>
      <c:valAx>
        <c:axId val="1217872896"/>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87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177800</xdr:colOff>
      <xdr:row>0</xdr:row>
      <xdr:rowOff>107950</xdr:rowOff>
    </xdr:from>
    <xdr:to>
      <xdr:col>29</xdr:col>
      <xdr:colOff>19050</xdr:colOff>
      <xdr:row>4</xdr:row>
      <xdr:rowOff>31750</xdr:rowOff>
    </xdr:to>
    <xdr:sp macro="" textlink="">
      <xdr:nvSpPr>
        <xdr:cNvPr id="2" name="Rectangle 1">
          <a:extLst>
            <a:ext uri="{FF2B5EF4-FFF2-40B4-BE49-F238E27FC236}">
              <a16:creationId xmlns:a16="http://schemas.microsoft.com/office/drawing/2014/main" id="{AA252E1E-D0E7-956F-8DA4-17F424DAD1A4}"/>
            </a:ext>
          </a:extLst>
        </xdr:cNvPr>
        <xdr:cNvSpPr/>
      </xdr:nvSpPr>
      <xdr:spPr>
        <a:xfrm>
          <a:off x="177800" y="107950"/>
          <a:ext cx="15265400" cy="590550"/>
        </a:xfrm>
        <a:prstGeom prst="rect">
          <a:avLst/>
        </a:prstGeom>
        <a:solidFill>
          <a:srgbClr val="3C1464"/>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COFFEE</a:t>
          </a:r>
          <a:r>
            <a:rPr lang="en-US" sz="2800" baseline="0">
              <a:solidFill>
                <a:schemeClr val="bg1"/>
              </a:solidFill>
            </a:rPr>
            <a:t> SALES BOARD</a:t>
          </a:r>
          <a:endParaRPr lang="en-US" sz="2800">
            <a:solidFill>
              <a:schemeClr val="bg1"/>
            </a:solidFill>
          </a:endParaRPr>
        </a:p>
      </xdr:txBody>
    </xdr:sp>
    <xdr:clientData/>
  </xdr:twoCellAnchor>
  <xdr:twoCellAnchor>
    <xdr:from>
      <xdr:col>4</xdr:col>
      <xdr:colOff>25400</xdr:colOff>
      <xdr:row>14</xdr:row>
      <xdr:rowOff>114300</xdr:rowOff>
    </xdr:from>
    <xdr:to>
      <xdr:col>19</xdr:col>
      <xdr:colOff>31750</xdr:colOff>
      <xdr:row>38</xdr:row>
      <xdr:rowOff>69850</xdr:rowOff>
    </xdr:to>
    <xdr:graphicFrame macro="">
      <xdr:nvGraphicFramePr>
        <xdr:cNvPr id="8" name="Chart 7">
          <a:extLst>
            <a:ext uri="{FF2B5EF4-FFF2-40B4-BE49-F238E27FC236}">
              <a16:creationId xmlns:a16="http://schemas.microsoft.com/office/drawing/2014/main" id="{B835CD79-43C3-43A4-9231-C5EB5D289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584200</xdr:colOff>
      <xdr:row>9</xdr:row>
      <xdr:rowOff>0</xdr:rowOff>
    </xdr:from>
    <xdr:to>
      <xdr:col>29</xdr:col>
      <xdr:colOff>1</xdr:colOff>
      <xdr:row>14</xdr:row>
      <xdr:rowOff>1346</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22AA6703-CE40-4CF3-873A-4E1FCCA6265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077450" y="1587500"/>
              <a:ext cx="1854200" cy="920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412750</xdr:colOff>
      <xdr:row>9</xdr:row>
      <xdr:rowOff>0</xdr:rowOff>
    </xdr:from>
    <xdr:to>
      <xdr:col>25</xdr:col>
      <xdr:colOff>412750</xdr:colOff>
      <xdr:row>14</xdr:row>
      <xdr:rowOff>12699</xdr:rowOff>
    </xdr:to>
    <mc:AlternateContent xmlns:mc="http://schemas.openxmlformats.org/markup-compatibility/2006" xmlns:a14="http://schemas.microsoft.com/office/drawing/2010/main">
      <mc:Choice Requires="a14">
        <xdr:graphicFrame macro="">
          <xdr:nvGraphicFramePr>
            <xdr:cNvPr id="11" name="Size">
              <a:extLst>
                <a:ext uri="{FF2B5EF4-FFF2-40B4-BE49-F238E27FC236}">
                  <a16:creationId xmlns:a16="http://schemas.microsoft.com/office/drawing/2014/main" id="{CDB613AF-372E-434E-B4C9-609568F4B9C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077200" y="1587500"/>
              <a:ext cx="182880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412750</xdr:colOff>
      <xdr:row>4</xdr:row>
      <xdr:rowOff>139700</xdr:rowOff>
    </xdr:from>
    <xdr:to>
      <xdr:col>29</xdr:col>
      <xdr:colOff>19051</xdr:colOff>
      <xdr:row>8</xdr:row>
      <xdr:rowOff>127000</xdr:rowOff>
    </xdr:to>
    <mc:AlternateContent xmlns:mc="http://schemas.openxmlformats.org/markup-compatibility/2006" xmlns:a14="http://schemas.microsoft.com/office/drawing/2010/main">
      <mc:Choice Requires="a14">
        <xdr:graphicFrame macro="">
          <xdr:nvGraphicFramePr>
            <xdr:cNvPr id="12" name="Roast Type Name">
              <a:extLst>
                <a:ext uri="{FF2B5EF4-FFF2-40B4-BE49-F238E27FC236}">
                  <a16:creationId xmlns:a16="http://schemas.microsoft.com/office/drawing/2014/main" id="{16034DF4-82C4-4D87-87CC-3414AAF3B97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077200" y="806450"/>
              <a:ext cx="387350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4</xdr:row>
      <xdr:rowOff>139700</xdr:rowOff>
    </xdr:from>
    <xdr:to>
      <xdr:col>22</xdr:col>
      <xdr:colOff>304799</xdr:colOff>
      <xdr:row>14</xdr:row>
      <xdr:rowOff>12700</xdr:rowOff>
    </xdr:to>
    <mc:AlternateContent xmlns:mc="http://schemas.openxmlformats.org/markup-compatibility/2006" xmlns:tsle="http://schemas.microsoft.com/office/drawing/2012/timeslicer">
      <mc:Choice Requires="tsle">
        <xdr:graphicFrame macro="">
          <xdr:nvGraphicFramePr>
            <xdr:cNvPr id="13" name="Order Date">
              <a:extLst>
                <a:ext uri="{FF2B5EF4-FFF2-40B4-BE49-F238E27FC236}">
                  <a16:creationId xmlns:a16="http://schemas.microsoft.com/office/drawing/2014/main" id="{BCB982B0-6219-4FB1-81F5-AD174974B3D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22250" y="806450"/>
              <a:ext cx="7747000" cy="1714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152400</xdr:colOff>
      <xdr:row>25</xdr:row>
      <xdr:rowOff>133350</xdr:rowOff>
    </xdr:from>
    <xdr:to>
      <xdr:col>28</xdr:col>
      <xdr:colOff>596900</xdr:colOff>
      <xdr:row>38</xdr:row>
      <xdr:rowOff>76200</xdr:rowOff>
    </xdr:to>
    <xdr:graphicFrame macro="">
      <xdr:nvGraphicFramePr>
        <xdr:cNvPr id="14" name="Chart 13">
          <a:extLst>
            <a:ext uri="{FF2B5EF4-FFF2-40B4-BE49-F238E27FC236}">
              <a16:creationId xmlns:a16="http://schemas.microsoft.com/office/drawing/2014/main" id="{FBF9EF94-8969-489D-A3ED-1A00E9AA1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146050</xdr:colOff>
      <xdr:row>14</xdr:row>
      <xdr:rowOff>120650</xdr:rowOff>
    </xdr:from>
    <xdr:to>
      <xdr:col>29</xdr:col>
      <xdr:colOff>6350</xdr:colOff>
      <xdr:row>25</xdr:row>
      <xdr:rowOff>31750</xdr:rowOff>
    </xdr:to>
    <xdr:graphicFrame macro="">
      <xdr:nvGraphicFramePr>
        <xdr:cNvPr id="15" name="Chart 14">
          <a:extLst>
            <a:ext uri="{FF2B5EF4-FFF2-40B4-BE49-F238E27FC236}">
              <a16:creationId xmlns:a16="http://schemas.microsoft.com/office/drawing/2014/main" id="{BE823068-87CB-4B22-B4AD-02A0347A4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Vallem" refreshedDate="46238.992655324073" createdVersion="8" refreshedVersion="8" minRefreshableVersion="3" recordCount="1000" xr:uid="{A7832A96-094C-40D7-82B8-140E3C7690FC}">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2">
      <sharedItems containsSemiMixedTypes="0" containsString="0" containsNumber="1" minValue="2.6849999999999996" maxValue="36.454999999999998"/>
    </cacheField>
    <cacheField name="Sales" numFmtId="2">
      <sharedItems containsSemiMixedTypes="0" containsString="0" containsNumber="1" minValue="2.6849999999999996" maxValue="218.73"/>
    </cacheField>
    <cacheField name="Coffee Type Name" numFmtId="0">
      <sharedItems count="4">
        <s v="robosta"/>
        <s v="Excelsa"/>
        <s v="Arabic"/>
        <s v="Liberica"/>
      </sharedItems>
    </cacheField>
    <cacheField name="Roast Type Name" numFmtId="0">
      <sharedItems count="3">
        <s v="Medium"/>
        <s v="Light"/>
        <s v="Dark"/>
      </sharedItems>
    </cacheField>
    <cacheField name="Loyalty Card" numFmtId="0">
      <sharedItems containsMixedTypes="1" containsNumber="1" containsInteger="1" minValue="0" maxValue="0" count="3">
        <s v="Yes"/>
        <s v="No"/>
        <n v="0" u="1"/>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37625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5BF21-7A98-4CA6-87E4-E93B394BECCE}"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3">
        <item m="1"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41"/>
  </dataFields>
  <formats count="2">
    <format dxfId="17">
      <pivotArea outline="0" fieldPosition="0">
        <references count="3">
          <reference field="13" count="1" selected="0">
            <x v="0"/>
          </reference>
          <reference field="16" count="1" selected="0">
            <x v="2"/>
          </reference>
          <reference field="17" count="1" selected="0">
            <x v="1"/>
          </reference>
        </references>
      </pivotArea>
    </format>
    <format dxfId="16">
      <pivotArea outline="0" collapsedLevelsAreSubtotals="1" fieldPosition="0"/>
    </format>
  </formats>
  <chartFormats count="4">
    <chartFormat chart="14" format="8" series="1">
      <pivotArea type="data" outline="0" fieldPosition="0">
        <references count="2">
          <reference field="4294967294" count="1" selected="0">
            <x v="0"/>
          </reference>
          <reference field="13" count="1" selected="0">
            <x v="0"/>
          </reference>
        </references>
      </pivotArea>
    </chartFormat>
    <chartFormat chart="14" format="9" series="1">
      <pivotArea type="data" outline="0" fieldPosition="0">
        <references count="2">
          <reference field="4294967294" count="1" selected="0">
            <x v="0"/>
          </reference>
          <reference field="13" count="1" selected="0">
            <x v="1"/>
          </reference>
        </references>
      </pivotArea>
    </chartFormat>
    <chartFormat chart="14" format="10" series="1">
      <pivotArea type="data" outline="0" fieldPosition="0">
        <references count="2">
          <reference field="4294967294" count="1" selected="0">
            <x v="0"/>
          </reference>
          <reference field="13" count="1" selected="0">
            <x v="2"/>
          </reference>
        </references>
      </pivotArea>
    </chartFormat>
    <chartFormat chart="1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5D16B0-3781-4617-908C-986DD06F2DF5}"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3">
        <item m="1"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10">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2"/>
          </reference>
        </references>
      </pivotArea>
    </chartFormat>
    <chartFormat chart="16" format="2">
      <pivotArea type="data" outline="0" fieldPosition="0">
        <references count="2">
          <reference field="4294967294" count="1" selected="0">
            <x v="0"/>
          </reference>
          <reference field="7" count="1" selected="0">
            <x v="0"/>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7" count="1" selected="0">
            <x v="1"/>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7" count="1" selected="0">
            <x v="1"/>
          </reference>
        </references>
      </pivotArea>
    </chartFormat>
    <chartFormat chart="19"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629AC8-8F8A-45D4-B3F1-3FD1EFB02A61}"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3">
        <item m="1"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4">
    <chartFormat chart="11"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A9E399E-25E6-4B0F-8080-D6DA0A74DC69}" sourceName="Loyalty Card">
  <pivotTables>
    <pivotTable tabId="18" name="Total Sales"/>
    <pivotTable tabId="19" name="Total Sales"/>
    <pivotTable tabId="21" name="Total Sales"/>
  </pivotTables>
  <data>
    <tabular pivotCacheId="2137625818">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5A82D9F-6DB5-4068-B35D-F3E6BB0A66B1}" sourceName="Size">
  <pivotTables>
    <pivotTable tabId="18" name="Total Sales"/>
    <pivotTable tabId="19" name="Total Sales"/>
    <pivotTable tabId="21" name="Total Sales"/>
  </pivotTables>
  <data>
    <tabular pivotCacheId="213762581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8865A2F-27DF-4C6A-AC2D-967E95F3164E}" sourceName="Roast Type Name">
  <pivotTables>
    <pivotTable tabId="18" name="Total Sales"/>
    <pivotTable tabId="19" name="Total Sales"/>
    <pivotTable tabId="21" name="Total Sales"/>
  </pivotTables>
  <data>
    <tabular pivotCacheId="213762581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089C40F1-333E-4B2F-AEAB-E92617F12A31}" cache="Slicer_Loyalty_Card" caption="Loyalty Card" style="Purple Slicer" rowHeight="241300"/>
  <slicer name="Size" xr10:uid="{DDA43612-F732-4B2A-A753-267233FAC8D7}" cache="Slicer_Size" caption="Size" columnCount="2" style="Purple Slicer" rowHeight="241300"/>
  <slicer name="Roast Type Name" xr10:uid="{B8A8A811-DB62-444F-850E-E78C5876F50E}" cache="Slicer_Roast_Type_Name" caption="Roast Type Name" columnCount="3"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C3A5F-5A9C-4565-86B7-836164FED831}" name="Orders" displayName="Orders" ref="A1:P1001" totalsRowShown="0" headerRowDxfId="29">
  <autoFilter ref="A1:P1001" xr:uid="{9DFC3A5F-5A9C-4565-86B7-836164FED831}"/>
  <tableColumns count="16">
    <tableColumn id="1" xr3:uid="{4001A288-838F-4B75-98D0-858D8B5E4351}" name="Order ID" dataDxfId="28"/>
    <tableColumn id="2" xr3:uid="{F37EEA81-9D4D-4C06-98F5-22FA8536321D}" name="Order Date" dataDxfId="27"/>
    <tableColumn id="3" xr3:uid="{BBE3FF50-BE1C-4120-B1A1-03D98FB440D7}" name="Customer ID" dataDxfId="26"/>
    <tableColumn id="4" xr3:uid="{02098DAE-1973-4BD3-B47F-04F093277705}" name="Product ID"/>
    <tableColumn id="5" xr3:uid="{93B90FD9-C8B3-4166-9DFD-97A2110468E2}" name="Quantity" dataDxfId="25"/>
    <tableColumn id="6" xr3:uid="{7CDA0BA3-EBD4-4FAA-A8DD-653E4B64B3BD}" name="Customer Name" dataDxfId="24">
      <calculatedColumnFormula>_xlfn.XLOOKUP(C2,customers!$A$1:$A$1001,customers!$B$1:$B$1001,,0)</calculatedColumnFormula>
    </tableColumn>
    <tableColumn id="7" xr3:uid="{FE8971D7-6ACC-4A1C-B229-BB48B05FD9AE}" name="Email" dataDxfId="23">
      <calculatedColumnFormula>IF(_xlfn.XLOOKUP(C2,customers!$A$1:$A$1001,customers!$C$1:$C$1001,,0)=0,"",_xlfn.XLOOKUP(C2,customers!$A$1:$A$1001,customers!$C$1:$C$1001,0))</calculatedColumnFormula>
    </tableColumn>
    <tableColumn id="8" xr3:uid="{4286E8BC-9B97-485C-A749-3CF5CF38EE69}" name="Country" dataDxfId="22">
      <calculatedColumnFormula>_xlfn.XLOOKUP(C2,customers!$A$1:$A$1001,customers!$G$1:$G$1001,,0)</calculatedColumnFormula>
    </tableColumn>
    <tableColumn id="9" xr3:uid="{1B5B64F8-436F-45FC-AEF1-01895A336F65}" name="Coffee Type">
      <calculatedColumnFormula>INDEX(products!$A$1:$G$49,MATCH(orders!$D2,products!$A$1:$A$49,0),MATCH(orders!I$1,products!$A$1:$G$1,0))</calculatedColumnFormula>
    </tableColumn>
    <tableColumn id="10" xr3:uid="{5228177F-22E8-45FC-B9E2-89BB2EF23709}" name="Roast Type">
      <calculatedColumnFormula>INDEX(products!$A$1:$G$49,MATCH(orders!$D2,products!$A$1:$A$49,0),MATCH(orders!J$1,products!$A$1:$G$1,0))</calculatedColumnFormula>
    </tableColumn>
    <tableColumn id="11" xr3:uid="{D7F58034-D29A-4BAE-82F8-D75214FA21EC}" name="Size" dataDxfId="21">
      <calculatedColumnFormula>INDEX(products!$A$1:$G$49,MATCH(orders!$D2,products!$A$1:$A$49,0),MATCH(orders!K$1,products!$A$1:$G$1,0))</calculatedColumnFormula>
    </tableColumn>
    <tableColumn id="12" xr3:uid="{2DE53CFE-C32B-4939-8AFD-C4130073C9FA}" name="Unit Price" dataDxfId="20" dataCellStyle="Currency">
      <calculatedColumnFormula>INDEX(products!$A$1:$G$49,MATCH(orders!$D2,products!$A$1:$A$49,0),MATCH(orders!L$1,products!$A$1:$G$1,0))</calculatedColumnFormula>
    </tableColumn>
    <tableColumn id="13" xr3:uid="{951C4D61-8ACC-4FC7-B041-AD5BFEF6229B}" name="Sales" dataDxfId="19" dataCellStyle="Currency">
      <calculatedColumnFormula>L2*E2</calculatedColumnFormula>
    </tableColumn>
    <tableColumn id="14" xr3:uid="{46F7EF72-C31D-4D28-9870-B474B486EF1B}" name="Coffee Type Name">
      <calculatedColumnFormula>IF(I2="Rob","robosta",IF(I2="Exc","Excelsa",IF(I2="Ara","Arabic",IF(I2="Lib","Liberica"))))</calculatedColumnFormula>
    </tableColumn>
    <tableColumn id="15" xr3:uid="{8FECE146-FFAC-4479-9485-B80BE7617634}" name="Roast Type Name">
      <calculatedColumnFormula>IF(J2="m","Medium",IF(J2="L","Light",IF(J2="D","Dark","")))</calculatedColumnFormula>
    </tableColumn>
    <tableColumn id="16" xr3:uid="{5C1897C0-81DF-4D69-8FC8-FCAB4B166FBA}" name="Loyalty Card" dataDxfId="18">
      <calculatedColumnFormula>_xlfn.XLOOKUP(Orders[[#This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1365866-98C1-4EC9-8384-E0EC9A2F56F5}" sourceName="Order Date">
  <pivotTables>
    <pivotTable tabId="18" name="Total Sales"/>
    <pivotTable tabId="19" name="Total Sales"/>
    <pivotTable tabId="21" name="Total Sales"/>
  </pivotTables>
  <state minimalRefreshVersion="6" lastRefreshVersion="6" pivotCacheId="213762581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25E961-16A2-401B-B988-914082B7CAEF}"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F2" sqref="F2:H11"/>
    </sheetView>
  </sheetViews>
  <sheetFormatPr defaultRowHeight="14.5" x14ac:dyDescent="0.35"/>
  <cols>
    <col min="1" max="1" width="16.54296875" bestFit="1" customWidth="1"/>
    <col min="2" max="2" width="11.81640625" style="4" bestFit="1" customWidth="1"/>
    <col min="3" max="3" width="17.453125" bestFit="1" customWidth="1"/>
    <col min="4" max="4" width="11.08984375" customWidth="1"/>
    <col min="5" max="5" width="9.6328125" customWidth="1"/>
    <col min="6" max="6" width="15.6328125" customWidth="1"/>
    <col min="7" max="7" width="16.6328125" bestFit="1" customWidth="1"/>
    <col min="8" max="8" width="14.1796875" bestFit="1" customWidth="1"/>
    <col min="9" max="9" width="12.26953125" customWidth="1"/>
    <col min="10" max="10" width="11.453125" customWidth="1"/>
    <col min="11" max="11" width="6.7265625" customWidth="1"/>
    <col min="12" max="12" width="10.453125" customWidth="1"/>
    <col min="13" max="13" width="8.81640625" bestFit="1" customWidth="1"/>
    <col min="14" max="14" width="17.54296875" customWidth="1"/>
    <col min="15" max="15" width="12.453125" customWidth="1"/>
  </cols>
  <sheetData>
    <row r="1" spans="1:16" x14ac:dyDescent="0.35">
      <c r="A1" s="2" t="s">
        <v>0</v>
      </c>
      <c r="B1" s="3" t="s">
        <v>1</v>
      </c>
      <c r="C1" s="2" t="s">
        <v>3</v>
      </c>
      <c r="D1" s="2" t="s">
        <v>11</v>
      </c>
      <c r="E1" s="2" t="s">
        <v>14</v>
      </c>
      <c r="F1" s="2" t="s">
        <v>4</v>
      </c>
      <c r="G1" s="2" t="s">
        <v>2</v>
      </c>
      <c r="H1" s="2" t="s">
        <v>7</v>
      </c>
      <c r="I1" s="2" t="s">
        <v>9</v>
      </c>
      <c r="J1" s="2" t="s">
        <v>10</v>
      </c>
      <c r="K1" s="2" t="s">
        <v>12</v>
      </c>
      <c r="L1" s="2" t="s">
        <v>13</v>
      </c>
      <c r="M1" s="2" t="s">
        <v>15</v>
      </c>
      <c r="N1" s="2" t="s">
        <v>6196</v>
      </c>
      <c r="O1" s="2" t="s">
        <v>6220</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IF(I2="Rob","robosta",IF(I2="Exc","Excelsa",IF(I2="Ara","Arabic",IF(I2="Lib","Liberica"))))</f>
        <v>robosta</v>
      </c>
      <c r="O2" t="str">
        <f>IF(J2="m","Medium",IF(J2="L","Light",IF(J2="D","Dark","")))</f>
        <v>Medium</v>
      </c>
      <c r="P2" t="str">
        <f>_xlfn.XLOOKUP(Orders[[#This Row],[Customer ID]],customers!$A$2:$A$1001,customers!$I$2:$I$1001,,0)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IF(I3="Rob","robosta",IF(I3="Exc","Excelsa",IF(I3="Ara","Arabic",IF(I3="Lib","Liberica"))))</f>
        <v>Excelsa</v>
      </c>
      <c r="O3" t="str">
        <f t="shared" ref="O3:O66" si="2">IF(J3="m","Medium",IF(J3="L","Light",IF(J3="D","Dark","")))</f>
        <v>Medium</v>
      </c>
      <c r="P3" t="str">
        <f>_xlfn.XLOOKUP(Orders[[#This Row],[Customer ID]],customers!$A$2:$A$1001,customers!$I$2:$I$1001,,0)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v>
      </c>
      <c r="O4" t="str">
        <f t="shared" si="2"/>
        <v>Light</v>
      </c>
      <c r="P4" t="str">
        <f>_xlfn.XLOOKUP(Orders[[#This Row],[Customer ID]],customers!$A$2:$A$1001,customers!$I$2:$I$1001,,0)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_xlfn.XLOOKUP(Orders[[#This Row],[Customer ID]],customers!$A$2:$A$1001,customers!$I$2:$I$1001,,0)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robosta</v>
      </c>
      <c r="O6" t="str">
        <f t="shared" si="2"/>
        <v>Light</v>
      </c>
      <c r="P6" t="str">
        <f>_xlfn.XLOOKUP(Orders[[#This Row],[Customer ID]],customers!$A$2:$A$1001,customers!$I$2:$I$1001,,0)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_xlfn.XLOOKUP(Orders[[#This Row],[Customer ID]],customers!$A$2:$A$1001,customers!$I$2:$I$1001,,0)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_xlfn.XLOOKUP(Orders[[#This Row],[Customer ID]],customers!$A$2:$A$1001,customers!$I$2:$I$1001,,0)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_xlfn.XLOOKUP(Orders[[#This Row],[Customer ID]],customers!$A$2:$A$1001,customers!$I$2:$I$1001,,0)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robosta</v>
      </c>
      <c r="O10" t="str">
        <f t="shared" si="2"/>
        <v>Medium</v>
      </c>
      <c r="P10" t="str">
        <f>_xlfn.XLOOKUP(Orders[[#This Row],[Customer ID]],customers!$A$2:$A$1001,customers!$I$2:$I$1001,,0)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robosta</v>
      </c>
      <c r="O11" t="str">
        <f t="shared" si="2"/>
        <v>Medium</v>
      </c>
      <c r="P11" t="str">
        <f>_xlfn.XLOOKUP(Orders[[#This Row],[Customer ID]],customers!$A$2:$A$1001,customers!$I$2:$I$1001,,0)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v>
      </c>
      <c r="O12" t="str">
        <f t="shared" si="2"/>
        <v>Dark</v>
      </c>
      <c r="P12" t="str">
        <f>_xlfn.XLOOKUP(Orders[[#This Row],[Customer ID]],customers!$A$2:$A$1001,customers!$I$2:$I$1001,,0)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_xlfn.XLOOKUP(Orders[[#This Row],[Customer ID]],customers!$A$2:$A$1001,customers!$I$2:$I$1001,,0)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robosta</v>
      </c>
      <c r="O14" t="str">
        <f t="shared" si="2"/>
        <v>Medium</v>
      </c>
      <c r="P14" t="str">
        <f>_xlfn.XLOOKUP(Orders[[#This Row],[Customer ID]],customers!$A$2:$A$1001,customers!$I$2:$I$1001,,0)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robosta</v>
      </c>
      <c r="O15" t="str">
        <f t="shared" si="2"/>
        <v>Dark</v>
      </c>
      <c r="P15" t="str">
        <f>_xlfn.XLOOKUP(Orders[[#This Row],[Customer ID]],customers!$A$2:$A$1001,customers!$I$2:$I$1001,,0)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_xlfn.XLOOKUP(Orders[[#This Row],[Customer ID]],customers!$A$2:$A$1001,customers!$I$2:$I$1001,,0)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robosta</v>
      </c>
      <c r="O17" t="str">
        <f t="shared" si="2"/>
        <v>Medium</v>
      </c>
      <c r="P17" t="str">
        <f>_xlfn.XLOOKUP(Orders[[#This Row],[Customer ID]],customers!$A$2:$A$1001,customers!$I$2:$I$1001,,0)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v>
      </c>
      <c r="O18" t="str">
        <f t="shared" si="2"/>
        <v>Medium</v>
      </c>
      <c r="P18" t="str">
        <f>_xlfn.XLOOKUP(Orders[[#This Row],[Customer ID]],customers!$A$2:$A$1001,customers!$I$2:$I$1001,,0)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v>
      </c>
      <c r="O19" t="str">
        <f t="shared" si="2"/>
        <v>Light</v>
      </c>
      <c r="P19" t="str">
        <f>_xlfn.XLOOKUP(Orders[[#This Row],[Customer ID]],customers!$A$2:$A$1001,customers!$I$2:$I$1001,,0)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robosta</v>
      </c>
      <c r="O20" t="str">
        <f t="shared" si="2"/>
        <v>Dark</v>
      </c>
      <c r="P20" t="str">
        <f>_xlfn.XLOOKUP(Orders[[#This Row],[Customer ID]],customers!$A$2:$A$1001,customers!$I$2:$I$1001,,0)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v>
      </c>
      <c r="O21" t="str">
        <f t="shared" si="2"/>
        <v>Medium</v>
      </c>
      <c r="P21" t="str">
        <f>_xlfn.XLOOKUP(Orders[[#This Row],[Customer ID]],customers!$A$2:$A$1001,customers!$I$2:$I$1001,,0)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_xlfn.XLOOKUP(Orders[[#This Row],[Customer ID]],customers!$A$2:$A$1001,customers!$I$2:$I$1001,,0)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v>
      </c>
      <c r="O23" t="str">
        <f t="shared" si="2"/>
        <v>Dark</v>
      </c>
      <c r="P23" t="str">
        <f>_xlfn.XLOOKUP(Orders[[#This Row],[Customer ID]],customers!$A$2:$A$1001,customers!$I$2:$I$1001,,0)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robosta</v>
      </c>
      <c r="O24" t="str">
        <f t="shared" si="2"/>
        <v>Medium</v>
      </c>
      <c r="P24" t="str">
        <f>_xlfn.XLOOKUP(Orders[[#This Row],[Customer ID]],customers!$A$2:$A$1001,customers!$I$2:$I$1001,,0)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v>
      </c>
      <c r="O25" t="str">
        <f t="shared" si="2"/>
        <v>Dark</v>
      </c>
      <c r="P25" t="str">
        <f>_xlfn.XLOOKUP(Orders[[#This Row],[Customer ID]],customers!$A$2:$A$1001,customers!$I$2:$I$1001,,0)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v>
      </c>
      <c r="O26" t="str">
        <f t="shared" si="2"/>
        <v>Medium</v>
      </c>
      <c r="P26" t="str">
        <f>_xlfn.XLOOKUP(Orders[[#This Row],[Customer ID]],customers!$A$2:$A$1001,customers!$I$2:$I$1001,,0)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_xlfn.XLOOKUP(Orders[[#This Row],[Customer ID]],customers!$A$2:$A$1001,customers!$I$2:$I$1001,,0)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v>
      </c>
      <c r="O28" t="str">
        <f t="shared" si="2"/>
        <v>Medium</v>
      </c>
      <c r="P28" t="str">
        <f>_xlfn.XLOOKUP(Orders[[#This Row],[Customer ID]],customers!$A$2:$A$1001,customers!$I$2:$I$1001,,0)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v>
      </c>
      <c r="O29" t="str">
        <f t="shared" si="2"/>
        <v>Medium</v>
      </c>
      <c r="P29" t="str">
        <f>_xlfn.XLOOKUP(Orders[[#This Row],[Customer ID]],customers!$A$2:$A$1001,customers!$I$2:$I$1001,,0)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v>
      </c>
      <c r="O30" t="str">
        <f t="shared" si="2"/>
        <v>Dark</v>
      </c>
      <c r="P30" t="str">
        <f>_xlfn.XLOOKUP(Orders[[#This Row],[Customer ID]],customers!$A$2:$A$1001,customers!$I$2:$I$1001,,0)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v>
      </c>
      <c r="O31" t="str">
        <f t="shared" si="2"/>
        <v>Dark</v>
      </c>
      <c r="P31" t="str">
        <f>_xlfn.XLOOKUP(Orders[[#This Row],[Customer ID]],customers!$A$2:$A$1001,customers!$I$2:$I$1001,,0)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ID]],customers!$A$2:$A$1001,customers!$I$2:$I$1001,,0)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v>
      </c>
      <c r="O33" t="str">
        <f t="shared" si="2"/>
        <v>Dark</v>
      </c>
      <c r="P33" t="str">
        <f>_xlfn.XLOOKUP(Orders[[#This Row],[Customer ID]],customers!$A$2:$A$1001,customers!$I$2:$I$1001,,0)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_xlfn.XLOOKUP(Orders[[#This Row],[Customer ID]],customers!$A$2:$A$1001,customers!$I$2:$I$1001,,0)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_xlfn.XLOOKUP(Orders[[#This Row],[Customer ID]],customers!$A$2:$A$1001,customers!$I$2:$I$1001,,0)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_xlfn.XLOOKUP(Orders[[#This Row],[Customer ID]],customers!$A$2:$A$1001,customers!$I$2:$I$1001,,0)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v>
      </c>
      <c r="O37" t="str">
        <f t="shared" si="2"/>
        <v>Dark</v>
      </c>
      <c r="P37" t="str">
        <f>_xlfn.XLOOKUP(Orders[[#This Row],[Customer ID]],customers!$A$2:$A$1001,customers!$I$2:$I$1001,,0)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_xlfn.XLOOKUP(Orders[[#This Row],[Customer ID]],customers!$A$2:$A$1001,customers!$I$2:$I$1001,,0)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_xlfn.XLOOKUP(Orders[[#This Row],[Customer ID]],customers!$A$2:$A$1001,customers!$I$2:$I$1001,,0)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robosta</v>
      </c>
      <c r="O40" t="str">
        <f t="shared" si="2"/>
        <v>Medium</v>
      </c>
      <c r="P40" t="str">
        <f>_xlfn.XLOOKUP(Orders[[#This Row],[Customer ID]],customers!$A$2:$A$1001,customers!$I$2:$I$1001,,0)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robosta</v>
      </c>
      <c r="O41" t="str">
        <f t="shared" si="2"/>
        <v>Medium</v>
      </c>
      <c r="P41" t="str">
        <f>_xlfn.XLOOKUP(Orders[[#This Row],[Customer ID]],customers!$A$2:$A$1001,customers!$I$2:$I$1001,,0)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_xlfn.XLOOKUP(Orders[[#This Row],[Customer ID]],customers!$A$2:$A$1001,customers!$I$2:$I$1001,,0)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_xlfn.XLOOKUP(Orders[[#This Row],[Customer ID]],customers!$A$2:$A$1001,customers!$I$2:$I$1001,,0)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robosta</v>
      </c>
      <c r="O44" t="str">
        <f t="shared" si="2"/>
        <v>Dark</v>
      </c>
      <c r="P44" t="str">
        <f>_xlfn.XLOOKUP(Orders[[#This Row],[Customer ID]],customers!$A$2:$A$1001,customers!$I$2:$I$1001,,0)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_xlfn.XLOOKUP(Orders[[#This Row],[Customer ID]],customers!$A$2:$A$1001,customers!$I$2:$I$1001,,0)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_xlfn.XLOOKUP(Orders[[#This Row],[Customer ID]],customers!$A$2:$A$1001,customers!$I$2:$I$1001,,0)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_xlfn.XLOOKUP(Orders[[#This Row],[Customer ID]],customers!$A$2:$A$1001,customers!$I$2:$I$1001,,0)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_xlfn.XLOOKUP(Orders[[#This Row],[Customer ID]],customers!$A$2:$A$1001,customers!$I$2:$I$1001,,0)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v>
      </c>
      <c r="O49" t="str">
        <f t="shared" si="2"/>
        <v>Light</v>
      </c>
      <c r="P49" t="str">
        <f>_xlfn.XLOOKUP(Orders[[#This Row],[Customer ID]],customers!$A$2:$A$1001,customers!$I$2:$I$1001,,0)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v>
      </c>
      <c r="O50" t="str">
        <f t="shared" si="2"/>
        <v>Dark</v>
      </c>
      <c r="P50" t="str">
        <f>_xlfn.XLOOKUP(Orders[[#This Row],[Customer ID]],customers!$A$2:$A$1001,customers!$I$2:$I$1001,,0)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v>
      </c>
      <c r="O51" t="str">
        <f t="shared" si="2"/>
        <v>Light</v>
      </c>
      <c r="P51" t="str">
        <f>_xlfn.XLOOKUP(Orders[[#This Row],[Customer ID]],customers!$A$2:$A$1001,customers!$I$2:$I$1001,,0)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_xlfn.XLOOKUP(Orders[[#This Row],[Customer ID]],customers!$A$2:$A$1001,customers!$I$2:$I$1001,,0)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_xlfn.XLOOKUP(Orders[[#This Row],[Customer ID]],customers!$A$2:$A$1001,customers!$I$2:$I$1001,,0)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robosta</v>
      </c>
      <c r="O54" t="str">
        <f t="shared" si="2"/>
        <v>Medium</v>
      </c>
      <c r="P54" t="str">
        <f>_xlfn.XLOOKUP(Orders[[#This Row],[Customer ID]],customers!$A$2:$A$1001,customers!$I$2:$I$1001,,0)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_xlfn.XLOOKUP(Orders[[#This Row],[Customer ID]],customers!$A$2:$A$1001,customers!$I$2:$I$1001,,0)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_xlfn.XLOOKUP(Orders[[#This Row],[Customer ID]],customers!$A$2:$A$1001,customers!$I$2:$I$1001,,0)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_xlfn.XLOOKUP(Orders[[#This Row],[Customer ID]],customers!$A$2:$A$1001,customers!$I$2:$I$1001,,0)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_xlfn.XLOOKUP(Orders[[#This Row],[Customer ID]],customers!$A$2:$A$1001,customers!$I$2:$I$1001,,0)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_xlfn.XLOOKUP(Orders[[#This Row],[Customer ID]],customers!$A$2:$A$1001,customers!$I$2:$I$1001,,0)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_xlfn.XLOOKUP(Orders[[#This Row],[Customer ID]],customers!$A$2:$A$1001,customers!$I$2:$I$1001,,0)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_xlfn.XLOOKUP(Orders[[#This Row],[Customer ID]],customers!$A$2:$A$1001,customers!$I$2:$I$1001,,0)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v>
      </c>
      <c r="O62" t="str">
        <f t="shared" si="2"/>
        <v>Dark</v>
      </c>
      <c r="P62" t="str">
        <f>_xlfn.XLOOKUP(Orders[[#This Row],[Customer ID]],customers!$A$2:$A$1001,customers!$I$2:$I$1001,,0)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robosta</v>
      </c>
      <c r="O63" t="str">
        <f t="shared" si="2"/>
        <v>Dark</v>
      </c>
      <c r="P63" t="str">
        <f>_xlfn.XLOOKUP(Orders[[#This Row],[Customer ID]],customers!$A$2:$A$1001,customers!$I$2:$I$1001,,0)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_xlfn.XLOOKUP(Orders[[#This Row],[Customer ID]],customers!$A$2:$A$1001,customers!$I$2:$I$1001,,0)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v>
      </c>
      <c r="O65" t="str">
        <f t="shared" si="2"/>
        <v>Medium</v>
      </c>
      <c r="P65" t="str">
        <f>_xlfn.XLOOKUP(Orders[[#This Row],[Customer ID]],customers!$A$2:$A$1001,customers!$I$2:$I$1001,,0)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robosta</v>
      </c>
      <c r="O66" t="str">
        <f t="shared" si="2"/>
        <v>Medium</v>
      </c>
      <c r="P66" t="str">
        <f>_xlfn.XLOOKUP(Orders[[#This Row],[Customer ID]],customers!$A$2:$A$1001,customers!$I$2:$I$1001,,0)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IF(I67="Rob","robosta",IF(I67="Exc","Excelsa",IF(I67="Ara","Arabic",IF(I67="Lib","Liberica"))))</f>
        <v>robosta</v>
      </c>
      <c r="O67" t="str">
        <f t="shared" ref="O67:O130" si="5">IF(J67="m","Medium",IF(J67="L","Light",IF(J67="D","Dark","")))</f>
        <v>Dark</v>
      </c>
      <c r="P67" t="str">
        <f>_xlfn.XLOOKUP(Orders[[#This Row],[Customer ID]],customers!$A$2:$A$1001,customers!$I$2:$I$1001,,0)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robosta</v>
      </c>
      <c r="O68" t="str">
        <f t="shared" si="5"/>
        <v>Light</v>
      </c>
      <c r="P68" t="str">
        <f>_xlfn.XLOOKUP(Orders[[#This Row],[Customer ID]],customers!$A$2:$A$1001,customers!$I$2:$I$1001,,0)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_xlfn.XLOOKUP(Orders[[#This Row],[Customer ID]],customers!$A$2:$A$1001,customers!$I$2:$I$1001,,0)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robosta</v>
      </c>
      <c r="O70" t="str">
        <f t="shared" si="5"/>
        <v>Medium</v>
      </c>
      <c r="P70" t="str">
        <f>_xlfn.XLOOKUP(Orders[[#This Row],[Customer ID]],customers!$A$2:$A$1001,customers!$I$2:$I$1001,,0)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robosta</v>
      </c>
      <c r="O71" t="str">
        <f t="shared" si="5"/>
        <v>Medium</v>
      </c>
      <c r="P71" t="str">
        <f>_xlfn.XLOOKUP(Orders[[#This Row],[Customer ID]],customers!$A$2:$A$1001,customers!$I$2:$I$1001,,0)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_xlfn.XLOOKUP(Orders[[#This Row],[Customer ID]],customers!$A$2:$A$1001,customers!$I$2:$I$1001,,0)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_xlfn.XLOOKUP(Orders[[#This Row],[Customer ID]],customers!$A$2:$A$1001,customers!$I$2:$I$1001,,0)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v>
      </c>
      <c r="O74" t="str">
        <f t="shared" si="5"/>
        <v>Medium</v>
      </c>
      <c r="P74" t="str">
        <f>_xlfn.XLOOKUP(Orders[[#This Row],[Customer ID]],customers!$A$2:$A$1001,customers!$I$2:$I$1001,,0)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ID]],customers!$A$2:$A$1001,customers!$I$2:$I$1001,,0)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_xlfn.XLOOKUP(Orders[[#This Row],[Customer ID]],customers!$A$2:$A$1001,customers!$I$2:$I$1001,,0)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robosta</v>
      </c>
      <c r="O77" t="str">
        <f t="shared" si="5"/>
        <v>Dark</v>
      </c>
      <c r="P77" t="str">
        <f>_xlfn.XLOOKUP(Orders[[#This Row],[Customer ID]],customers!$A$2:$A$1001,customers!$I$2:$I$1001,,0)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robosta</v>
      </c>
      <c r="O78" t="str">
        <f t="shared" si="5"/>
        <v>Light</v>
      </c>
      <c r="P78" t="str">
        <f>_xlfn.XLOOKUP(Orders[[#This Row],[Customer ID]],customers!$A$2:$A$1001,customers!$I$2:$I$1001,,0)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_xlfn.XLOOKUP(Orders[[#This Row],[Customer ID]],customers!$A$2:$A$1001,customers!$I$2:$I$1001,,0)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v>
      </c>
      <c r="O80" t="str">
        <f t="shared" si="5"/>
        <v>Medium</v>
      </c>
      <c r="P80" t="str">
        <f>_xlfn.XLOOKUP(Orders[[#This Row],[Customer ID]],customers!$A$2:$A$1001,customers!$I$2:$I$1001,,0)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robosta</v>
      </c>
      <c r="O81" t="str">
        <f t="shared" si="5"/>
        <v>Light</v>
      </c>
      <c r="P81" t="str">
        <f>_xlfn.XLOOKUP(Orders[[#This Row],[Customer ID]],customers!$A$2:$A$1001,customers!$I$2:$I$1001,,0)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v>
      </c>
      <c r="O82" t="str">
        <f t="shared" si="5"/>
        <v>Light</v>
      </c>
      <c r="P82" t="str">
        <f>_xlfn.XLOOKUP(Orders[[#This Row],[Customer ID]],customers!$A$2:$A$1001,customers!$I$2:$I$1001,,0)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_xlfn.XLOOKUP(Orders[[#This Row],[Customer ID]],customers!$A$2:$A$1001,customers!$I$2:$I$1001,,0)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ID]],customers!$A$2:$A$1001,customers!$I$2:$I$1001,,0)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robosta</v>
      </c>
      <c r="O85" t="str">
        <f t="shared" si="5"/>
        <v>Dark</v>
      </c>
      <c r="P85" t="str">
        <f>_xlfn.XLOOKUP(Orders[[#This Row],[Customer ID]],customers!$A$2:$A$1001,customers!$I$2:$I$1001,,0)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_xlfn.XLOOKUP(Orders[[#This Row],[Customer ID]],customers!$A$2:$A$1001,customers!$I$2:$I$1001,,0)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v>
      </c>
      <c r="O87" t="str">
        <f t="shared" si="5"/>
        <v>Light</v>
      </c>
      <c r="P87" t="str">
        <f>_xlfn.XLOOKUP(Orders[[#This Row],[Customer ID]],customers!$A$2:$A$1001,customers!$I$2:$I$1001,,0)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v>
      </c>
      <c r="O88" t="str">
        <f t="shared" si="5"/>
        <v>Dark</v>
      </c>
      <c r="P88" t="str">
        <f>_xlfn.XLOOKUP(Orders[[#This Row],[Customer ID]],customers!$A$2:$A$1001,customers!$I$2:$I$1001,,0)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v>
      </c>
      <c r="O89" t="str">
        <f t="shared" si="5"/>
        <v>Medium</v>
      </c>
      <c r="P89" t="str">
        <f>_xlfn.XLOOKUP(Orders[[#This Row],[Customer ID]],customers!$A$2:$A$1001,customers!$I$2:$I$1001,,0)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robosta</v>
      </c>
      <c r="O90" t="str">
        <f t="shared" si="5"/>
        <v>Light</v>
      </c>
      <c r="P90" t="str">
        <f>_xlfn.XLOOKUP(Orders[[#This Row],[Customer ID]],customers!$A$2:$A$1001,customers!$I$2:$I$1001,,0)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v>
      </c>
      <c r="O91" t="str">
        <f t="shared" si="5"/>
        <v>Light</v>
      </c>
      <c r="P91" t="str">
        <f>_xlfn.XLOOKUP(Orders[[#This Row],[Customer ID]],customers!$A$2:$A$1001,customers!$I$2:$I$1001,,0)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v>
      </c>
      <c r="O92" t="str">
        <f t="shared" si="5"/>
        <v>Light</v>
      </c>
      <c r="P92" t="str">
        <f>_xlfn.XLOOKUP(Orders[[#This Row],[Customer ID]],customers!$A$2:$A$1001,customers!$I$2:$I$1001,,0)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v>
      </c>
      <c r="O93" t="str">
        <f t="shared" si="5"/>
        <v>Medium</v>
      </c>
      <c r="P93" t="str">
        <f>_xlfn.XLOOKUP(Orders[[#This Row],[Customer ID]],customers!$A$2:$A$1001,customers!$I$2:$I$1001,,0)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_xlfn.XLOOKUP(Orders[[#This Row],[Customer ID]],customers!$A$2:$A$1001,customers!$I$2:$I$1001,,0)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_xlfn.XLOOKUP(Orders[[#This Row],[Customer ID]],customers!$A$2:$A$1001,customers!$I$2:$I$1001,,0)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v>
      </c>
      <c r="O96" t="str">
        <f t="shared" si="5"/>
        <v>Dark</v>
      </c>
      <c r="P96" t="str">
        <f>_xlfn.XLOOKUP(Orders[[#This Row],[Customer ID]],customers!$A$2:$A$1001,customers!$I$2:$I$1001,,0)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v>
      </c>
      <c r="O97" t="str">
        <f t="shared" si="5"/>
        <v>Medium</v>
      </c>
      <c r="P97" t="str">
        <f>_xlfn.XLOOKUP(Orders[[#This Row],[Customer ID]],customers!$A$2:$A$1001,customers!$I$2:$I$1001,,0)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v>
      </c>
      <c r="O98" t="str">
        <f t="shared" si="5"/>
        <v>Dark</v>
      </c>
      <c r="P98" t="str">
        <f>_xlfn.XLOOKUP(Orders[[#This Row],[Customer ID]],customers!$A$2:$A$1001,customers!$I$2:$I$1001,,0)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v>
      </c>
      <c r="O99" t="str">
        <f t="shared" si="5"/>
        <v>Medium</v>
      </c>
      <c r="P99" t="str">
        <f>_xlfn.XLOOKUP(Orders[[#This Row],[Customer ID]],customers!$A$2:$A$1001,customers!$I$2:$I$1001,,0)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v>
      </c>
      <c r="O100" t="str">
        <f t="shared" si="5"/>
        <v>Dark</v>
      </c>
      <c r="P100" t="str">
        <f>_xlfn.XLOOKUP(Orders[[#This Row],[Customer ID]],customers!$A$2:$A$1001,customers!$I$2:$I$1001,,0)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ID]],customers!$A$2:$A$1001,customers!$I$2:$I$1001,,0)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v>
      </c>
      <c r="O102" t="str">
        <f t="shared" si="5"/>
        <v>Light</v>
      </c>
      <c r="P102" t="str">
        <f>_xlfn.XLOOKUP(Orders[[#This Row],[Customer ID]],customers!$A$2:$A$1001,customers!$I$2:$I$1001,,0)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ID]],customers!$A$2:$A$1001,customers!$I$2:$I$1001,,0)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_xlfn.XLOOKUP(Orders[[#This Row],[Customer ID]],customers!$A$2:$A$1001,customers!$I$2:$I$1001,,0)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robosta</v>
      </c>
      <c r="O105" t="str">
        <f t="shared" si="5"/>
        <v>Medium</v>
      </c>
      <c r="P105" t="str">
        <f>_xlfn.XLOOKUP(Orders[[#This Row],[Customer ID]],customers!$A$2:$A$1001,customers!$I$2:$I$1001,,0)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_xlfn.XLOOKUP(Orders[[#This Row],[Customer ID]],customers!$A$2:$A$1001,customers!$I$2:$I$1001,,0)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v>
      </c>
      <c r="O107" t="str">
        <f t="shared" si="5"/>
        <v>Medium</v>
      </c>
      <c r="P107" t="str">
        <f>_xlfn.XLOOKUP(Orders[[#This Row],[Customer ID]],customers!$A$2:$A$1001,customers!$I$2:$I$1001,,0)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_xlfn.XLOOKUP(Orders[[#This Row],[Customer ID]],customers!$A$2:$A$1001,customers!$I$2:$I$1001,,0)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robosta</v>
      </c>
      <c r="O109" t="str">
        <f t="shared" si="5"/>
        <v>Medium</v>
      </c>
      <c r="P109" t="str">
        <f>_xlfn.XLOOKUP(Orders[[#This Row],[Customer ID]],customers!$A$2:$A$1001,customers!$I$2:$I$1001,,0)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v>
      </c>
      <c r="O110" t="str">
        <f t="shared" si="5"/>
        <v>Medium</v>
      </c>
      <c r="P110" t="str">
        <f>_xlfn.XLOOKUP(Orders[[#This Row],[Customer ID]],customers!$A$2:$A$1001,customers!$I$2:$I$1001,,0)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_xlfn.XLOOKUP(Orders[[#This Row],[Customer ID]],customers!$A$2:$A$1001,customers!$I$2:$I$1001,,0)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_xlfn.XLOOKUP(Orders[[#This Row],[Customer ID]],customers!$A$2:$A$1001,customers!$I$2:$I$1001,,0)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robosta</v>
      </c>
      <c r="O113" t="str">
        <f t="shared" si="5"/>
        <v>Dark</v>
      </c>
      <c r="P113" t="str">
        <f>_xlfn.XLOOKUP(Orders[[#This Row],[Customer ID]],customers!$A$2:$A$1001,customers!$I$2:$I$1001,,0)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v>
      </c>
      <c r="O114" t="str">
        <f t="shared" si="5"/>
        <v>Medium</v>
      </c>
      <c r="P114" t="str">
        <f>_xlfn.XLOOKUP(Orders[[#This Row],[Customer ID]],customers!$A$2:$A$1001,customers!$I$2:$I$1001,,0)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_xlfn.XLOOKUP(Orders[[#This Row],[Customer ID]],customers!$A$2:$A$1001,customers!$I$2:$I$1001,,0)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robosta</v>
      </c>
      <c r="O116" t="str">
        <f t="shared" si="5"/>
        <v>Light</v>
      </c>
      <c r="P116" t="str">
        <f>_xlfn.XLOOKUP(Orders[[#This Row],[Customer ID]],customers!$A$2:$A$1001,customers!$I$2:$I$1001,,0)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_xlfn.XLOOKUP(Orders[[#This Row],[Customer ID]],customers!$A$2:$A$1001,customers!$I$2:$I$1001,,0)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_xlfn.XLOOKUP(Orders[[#This Row],[Customer ID]],customers!$A$2:$A$1001,customers!$I$2:$I$1001,,0)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_xlfn.XLOOKUP(Orders[[#This Row],[Customer ID]],customers!$A$2:$A$1001,customers!$I$2:$I$1001,,0)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_xlfn.XLOOKUP(Orders[[#This Row],[Customer ID]],customers!$A$2:$A$1001,customers!$I$2:$I$1001,,0)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_xlfn.XLOOKUP(Orders[[#This Row],[Customer ID]],customers!$A$2:$A$1001,customers!$I$2:$I$1001,,0)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v>
      </c>
      <c r="O122" t="str">
        <f t="shared" si="5"/>
        <v>Light</v>
      </c>
      <c r="P122" t="str">
        <f>_xlfn.XLOOKUP(Orders[[#This Row],[Customer ID]],customers!$A$2:$A$1001,customers!$I$2:$I$1001,,0)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_xlfn.XLOOKUP(Orders[[#This Row],[Customer ID]],customers!$A$2:$A$1001,customers!$I$2:$I$1001,,0)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v>
      </c>
      <c r="O124" t="str">
        <f t="shared" si="5"/>
        <v>Dark</v>
      </c>
      <c r="P124" t="str">
        <f>_xlfn.XLOOKUP(Orders[[#This Row],[Customer ID]],customers!$A$2:$A$1001,customers!$I$2:$I$1001,,0)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_xlfn.XLOOKUP(Orders[[#This Row],[Customer ID]],customers!$A$2:$A$1001,customers!$I$2:$I$1001,,0)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ID]],customers!$A$2:$A$1001,customers!$I$2:$I$1001,,0)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_xlfn.XLOOKUP(Orders[[#This Row],[Customer ID]],customers!$A$2:$A$1001,customers!$I$2:$I$1001,,0)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v>
      </c>
      <c r="O128" t="str">
        <f t="shared" si="5"/>
        <v>Medium</v>
      </c>
      <c r="P128" t="str">
        <f>_xlfn.XLOOKUP(Orders[[#This Row],[Customer ID]],customers!$A$2:$A$1001,customers!$I$2:$I$1001,,0)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_xlfn.XLOOKUP(Orders[[#This Row],[Customer ID]],customers!$A$2:$A$1001,customers!$I$2:$I$1001,,0)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v>
      </c>
      <c r="O130" t="str">
        <f t="shared" si="5"/>
        <v>Medium</v>
      </c>
      <c r="P130" t="str">
        <f>_xlfn.XLOOKUP(Orders[[#This Row],[Customer ID]],customers!$A$2:$A$1001,customers!$I$2:$I$1001,,0)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IF(I131="Rob","robosta",IF(I131="Exc","Excelsa",IF(I131="Ara","Arabic",IF(I131="Lib","Liberica"))))</f>
        <v>Excelsa</v>
      </c>
      <c r="O131" t="str">
        <f t="shared" ref="O131:O194" si="8">IF(J131="m","Medium",IF(J131="L","Light",IF(J131="D","Dark","")))</f>
        <v>Dark</v>
      </c>
      <c r="P131" t="str">
        <f>_xlfn.XLOOKUP(Orders[[#This Row],[Customer ID]],customers!$A$2:$A$1001,customers!$I$2:$I$1001,,0)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v>
      </c>
      <c r="O132" t="str">
        <f t="shared" si="8"/>
        <v>Light</v>
      </c>
      <c r="P132" t="str">
        <f>_xlfn.XLOOKUP(Orders[[#This Row],[Customer ID]],customers!$A$2:$A$1001,customers!$I$2:$I$1001,,0)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_xlfn.XLOOKUP(Orders[[#This Row],[Customer ID]],customers!$A$2:$A$1001,customers!$I$2:$I$1001,,0)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v>
      </c>
      <c r="O134" t="str">
        <f t="shared" si="8"/>
        <v>Light</v>
      </c>
      <c r="P134" t="str">
        <f>_xlfn.XLOOKUP(Orders[[#This Row],[Customer ID]],customers!$A$2:$A$1001,customers!$I$2:$I$1001,,0)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_xlfn.XLOOKUP(Orders[[#This Row],[Customer ID]],customers!$A$2:$A$1001,customers!$I$2:$I$1001,,0)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ID]],customers!$A$2:$A$1001,customers!$I$2:$I$1001,,0)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v>
      </c>
      <c r="O137" t="str">
        <f t="shared" si="8"/>
        <v>Light</v>
      </c>
      <c r="P137" t="str">
        <f>_xlfn.XLOOKUP(Orders[[#This Row],[Customer ID]],customers!$A$2:$A$1001,customers!$I$2:$I$1001,,0)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v>
      </c>
      <c r="O138" t="str">
        <f t="shared" si="8"/>
        <v>Dark</v>
      </c>
      <c r="P138" t="str">
        <f>_xlfn.XLOOKUP(Orders[[#This Row],[Customer ID]],customers!$A$2:$A$1001,customers!$I$2:$I$1001,,0)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ID]],customers!$A$2:$A$1001,customers!$I$2:$I$1001,,0)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_xlfn.XLOOKUP(Orders[[#This Row],[Customer ID]],customers!$A$2:$A$1001,customers!$I$2:$I$1001,,0)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_xlfn.XLOOKUP(Orders[[#This Row],[Customer ID]],customers!$A$2:$A$1001,customers!$I$2:$I$1001,,0)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ID]],customers!$A$2:$A$1001,customers!$I$2:$I$1001,,0)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v>
      </c>
      <c r="O143" t="str">
        <f t="shared" si="8"/>
        <v>Light</v>
      </c>
      <c r="P143" t="str">
        <f>_xlfn.XLOOKUP(Orders[[#This Row],[Customer ID]],customers!$A$2:$A$1001,customers!$I$2:$I$1001,,0)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ID]],customers!$A$2:$A$1001,customers!$I$2:$I$1001,,0)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_xlfn.XLOOKUP(Orders[[#This Row],[Customer ID]],customers!$A$2:$A$1001,customers!$I$2:$I$1001,,0)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ID]],customers!$A$2:$A$1001,customers!$I$2:$I$1001,,0)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_xlfn.XLOOKUP(Orders[[#This Row],[Customer ID]],customers!$A$2:$A$1001,customers!$I$2:$I$1001,,0)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_xlfn.XLOOKUP(Orders[[#This Row],[Customer ID]],customers!$A$2:$A$1001,customers!$I$2:$I$1001,,0)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_xlfn.XLOOKUP(Orders[[#This Row],[Customer ID]],customers!$A$2:$A$1001,customers!$I$2:$I$1001,,0)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_xlfn.XLOOKUP(Orders[[#This Row],[Customer ID]],customers!$A$2:$A$1001,customers!$I$2:$I$1001,,0)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v>
      </c>
      <c r="O151" t="str">
        <f t="shared" si="8"/>
        <v>Medium</v>
      </c>
      <c r="P151" t="str">
        <f>_xlfn.XLOOKUP(Orders[[#This Row],[Customer ID]],customers!$A$2:$A$1001,customers!$I$2:$I$1001,,0)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_xlfn.XLOOKUP(Orders[[#This Row],[Customer ID]],customers!$A$2:$A$1001,customers!$I$2:$I$1001,,0)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v>
      </c>
      <c r="O153" t="str">
        <f t="shared" si="8"/>
        <v>Medium</v>
      </c>
      <c r="P153" t="str">
        <f>_xlfn.XLOOKUP(Orders[[#This Row],[Customer ID]],customers!$A$2:$A$1001,customers!$I$2:$I$1001,,0)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robosta</v>
      </c>
      <c r="O154" t="str">
        <f t="shared" si="8"/>
        <v>Medium</v>
      </c>
      <c r="P154" t="str">
        <f>_xlfn.XLOOKUP(Orders[[#This Row],[Customer ID]],customers!$A$2:$A$1001,customers!$I$2:$I$1001,,0)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robosta</v>
      </c>
      <c r="O155" t="str">
        <f t="shared" si="8"/>
        <v>Dark</v>
      </c>
      <c r="P155" t="str">
        <f>_xlfn.XLOOKUP(Orders[[#This Row],[Customer ID]],customers!$A$2:$A$1001,customers!$I$2:$I$1001,,0)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v>
      </c>
      <c r="O156" t="str">
        <f t="shared" si="8"/>
        <v>Dark</v>
      </c>
      <c r="P156" t="str">
        <f>_xlfn.XLOOKUP(Orders[[#This Row],[Customer ID]],customers!$A$2:$A$1001,customers!$I$2:$I$1001,,0)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v>
      </c>
      <c r="O157" t="str">
        <f t="shared" si="8"/>
        <v>Medium</v>
      </c>
      <c r="P157" t="str">
        <f>_xlfn.XLOOKUP(Orders[[#This Row],[Customer ID]],customers!$A$2:$A$1001,customers!$I$2:$I$1001,,0)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v>
      </c>
      <c r="O158" t="str">
        <f t="shared" si="8"/>
        <v>Medium</v>
      </c>
      <c r="P158" t="str">
        <f>_xlfn.XLOOKUP(Orders[[#This Row],[Customer ID]],customers!$A$2:$A$1001,customers!$I$2:$I$1001,,0)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robosta</v>
      </c>
      <c r="O159" t="str">
        <f t="shared" si="8"/>
        <v>Dark</v>
      </c>
      <c r="P159" t="str">
        <f>_xlfn.XLOOKUP(Orders[[#This Row],[Customer ID]],customers!$A$2:$A$1001,customers!$I$2:$I$1001,,0)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robosta</v>
      </c>
      <c r="O160" t="str">
        <f t="shared" si="8"/>
        <v>Dark</v>
      </c>
      <c r="P160" t="str">
        <f>_xlfn.XLOOKUP(Orders[[#This Row],[Customer ID]],customers!$A$2:$A$1001,customers!$I$2:$I$1001,,0)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_xlfn.XLOOKUP(Orders[[#This Row],[Customer ID]],customers!$A$2:$A$1001,customers!$I$2:$I$1001,,0)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_xlfn.XLOOKUP(Orders[[#This Row],[Customer ID]],customers!$A$2:$A$1001,customers!$I$2:$I$1001,,0)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v>
      </c>
      <c r="O163" t="str">
        <f t="shared" si="8"/>
        <v>Light</v>
      </c>
      <c r="P163" t="str">
        <f>_xlfn.XLOOKUP(Orders[[#This Row],[Customer ID]],customers!$A$2:$A$1001,customers!$I$2:$I$1001,,0)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_xlfn.XLOOKUP(Orders[[#This Row],[Customer ID]],customers!$A$2:$A$1001,customers!$I$2:$I$1001,,0)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robosta</v>
      </c>
      <c r="O165" t="str">
        <f t="shared" si="8"/>
        <v>Dark</v>
      </c>
      <c r="P165" t="str">
        <f>_xlfn.XLOOKUP(Orders[[#This Row],[Customer ID]],customers!$A$2:$A$1001,customers!$I$2:$I$1001,,0)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_xlfn.XLOOKUP(Orders[[#This Row],[Customer ID]],customers!$A$2:$A$1001,customers!$I$2:$I$1001,,0)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robosta</v>
      </c>
      <c r="O167" t="str">
        <f t="shared" si="8"/>
        <v>Dark</v>
      </c>
      <c r="P167" t="str">
        <f>_xlfn.XLOOKUP(Orders[[#This Row],[Customer ID]],customers!$A$2:$A$1001,customers!$I$2:$I$1001,,0)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robosta</v>
      </c>
      <c r="O168" t="str">
        <f t="shared" si="8"/>
        <v>Dark</v>
      </c>
      <c r="P168" t="str">
        <f>_xlfn.XLOOKUP(Orders[[#This Row],[Customer ID]],customers!$A$2:$A$1001,customers!$I$2:$I$1001,,0)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_xlfn.XLOOKUP(Orders[[#This Row],[Customer ID]],customers!$A$2:$A$1001,customers!$I$2:$I$1001,,0)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v>
      </c>
      <c r="O170" t="str">
        <f t="shared" si="8"/>
        <v>Medium</v>
      </c>
      <c r="P170" t="str">
        <f>_xlfn.XLOOKUP(Orders[[#This Row],[Customer ID]],customers!$A$2:$A$1001,customers!$I$2:$I$1001,,0)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robosta</v>
      </c>
      <c r="O171" t="str">
        <f t="shared" si="8"/>
        <v>Dark</v>
      </c>
      <c r="P171" t="str">
        <f>_xlfn.XLOOKUP(Orders[[#This Row],[Customer ID]],customers!$A$2:$A$1001,customers!$I$2:$I$1001,,0)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ID]],customers!$A$2:$A$1001,customers!$I$2:$I$1001,,0)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ID]],customers!$A$2:$A$1001,customers!$I$2:$I$1001,,0)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_xlfn.XLOOKUP(Orders[[#This Row],[Customer ID]],customers!$A$2:$A$1001,customers!$I$2:$I$1001,,0)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robosta</v>
      </c>
      <c r="O175" t="str">
        <f t="shared" si="8"/>
        <v>Medium</v>
      </c>
      <c r="P175" t="str">
        <f>_xlfn.XLOOKUP(Orders[[#This Row],[Customer ID]],customers!$A$2:$A$1001,customers!$I$2:$I$1001,,0)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ID]],customers!$A$2:$A$1001,customers!$I$2:$I$1001,,0)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ID]],customers!$A$2:$A$1001,customers!$I$2:$I$1001,,0)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ID]],customers!$A$2:$A$1001,customers!$I$2:$I$1001,,0)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robosta</v>
      </c>
      <c r="O179" t="str">
        <f t="shared" si="8"/>
        <v>Light</v>
      </c>
      <c r="P179" t="str">
        <f>_xlfn.XLOOKUP(Orders[[#This Row],[Customer ID]],customers!$A$2:$A$1001,customers!$I$2:$I$1001,,0)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v>
      </c>
      <c r="O180" t="str">
        <f t="shared" si="8"/>
        <v>Light</v>
      </c>
      <c r="P180" t="str">
        <f>_xlfn.XLOOKUP(Orders[[#This Row],[Customer ID]],customers!$A$2:$A$1001,customers!$I$2:$I$1001,,0)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v>
      </c>
      <c r="O181" t="str">
        <f t="shared" si="8"/>
        <v>Dark</v>
      </c>
      <c r="P181" t="str">
        <f>_xlfn.XLOOKUP(Orders[[#This Row],[Customer ID]],customers!$A$2:$A$1001,customers!$I$2:$I$1001,,0)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ID]],customers!$A$2:$A$1001,customers!$I$2:$I$1001,,0)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v>
      </c>
      <c r="O183" t="str">
        <f t="shared" si="8"/>
        <v>Dark</v>
      </c>
      <c r="P183" t="str">
        <f>_xlfn.XLOOKUP(Orders[[#This Row],[Customer ID]],customers!$A$2:$A$1001,customers!$I$2:$I$1001,,0)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robosta</v>
      </c>
      <c r="O184" t="str">
        <f t="shared" si="8"/>
        <v>Dark</v>
      </c>
      <c r="P184" t="str">
        <f>_xlfn.XLOOKUP(Orders[[#This Row],[Customer ID]],customers!$A$2:$A$1001,customers!$I$2:$I$1001,,0)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_xlfn.XLOOKUP(Orders[[#This Row],[Customer ID]],customers!$A$2:$A$1001,customers!$I$2:$I$1001,,0)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v>
      </c>
      <c r="O186" t="str">
        <f t="shared" si="8"/>
        <v>Light</v>
      </c>
      <c r="P186" t="str">
        <f>_xlfn.XLOOKUP(Orders[[#This Row],[Customer ID]],customers!$A$2:$A$1001,customers!$I$2:$I$1001,,0)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_xlfn.XLOOKUP(Orders[[#This Row],[Customer ID]],customers!$A$2:$A$1001,customers!$I$2:$I$1001,,0)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robosta</v>
      </c>
      <c r="O188" t="str">
        <f t="shared" si="8"/>
        <v>Medium</v>
      </c>
      <c r="P188" t="str">
        <f>_xlfn.XLOOKUP(Orders[[#This Row],[Customer ID]],customers!$A$2:$A$1001,customers!$I$2:$I$1001,,0)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_xlfn.XLOOKUP(Orders[[#This Row],[Customer ID]],customers!$A$2:$A$1001,customers!$I$2:$I$1001,,0)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ID]],customers!$A$2:$A$1001,customers!$I$2:$I$1001,,0)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_xlfn.XLOOKUP(Orders[[#This Row],[Customer ID]],customers!$A$2:$A$1001,customers!$I$2:$I$1001,,0)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ID]],customers!$A$2:$A$1001,customers!$I$2:$I$1001,,0)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ID]],customers!$A$2:$A$1001,customers!$I$2:$I$1001,,0)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_xlfn.XLOOKUP(Orders[[#This Row],[Customer ID]],customers!$A$2:$A$1001,customers!$I$2:$I$1001,,0)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IF(I195="Rob","robosta",IF(I195="Exc","Excelsa",IF(I195="Ara","Arabic",IF(I195="Lib","Liberica"))))</f>
        <v>Excelsa</v>
      </c>
      <c r="O195" t="str">
        <f t="shared" ref="O195:O258" si="11">IF(J195="m","Medium",IF(J195="L","Light",IF(J195="D","Dark","")))</f>
        <v>Light</v>
      </c>
      <c r="P195" t="str">
        <f>_xlfn.XLOOKUP(Orders[[#This Row],[Customer ID]],customers!$A$2:$A$1001,customers!$I$2:$I$1001,,0)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_xlfn.XLOOKUP(Orders[[#This Row],[Customer ID]],customers!$A$2:$A$1001,customers!$I$2:$I$1001,,0)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v>
      </c>
      <c r="O197" t="str">
        <f t="shared" si="11"/>
        <v>Light</v>
      </c>
      <c r="P197" t="str">
        <f>_xlfn.XLOOKUP(Orders[[#This Row],[Customer ID]],customers!$A$2:$A$1001,customers!$I$2:$I$1001,,0)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_xlfn.XLOOKUP(Orders[[#This Row],[Customer ID]],customers!$A$2:$A$1001,customers!$I$2:$I$1001,,0)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ID]],customers!$A$2:$A$1001,customers!$I$2:$I$1001,,0)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ID]],customers!$A$2:$A$1001,customers!$I$2:$I$1001,,0)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_xlfn.XLOOKUP(Orders[[#This Row],[Customer ID]],customers!$A$2:$A$1001,customers!$I$2:$I$1001,,0)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_xlfn.XLOOKUP(Orders[[#This Row],[Customer ID]],customers!$A$2:$A$1001,customers!$I$2:$I$1001,,0)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_xlfn.XLOOKUP(Orders[[#This Row],[Customer ID]],customers!$A$2:$A$1001,customers!$I$2:$I$1001,,0)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ID]],customers!$A$2:$A$1001,customers!$I$2:$I$1001,,0)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ID]],customers!$A$2:$A$1001,customers!$I$2:$I$1001,,0)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_xlfn.XLOOKUP(Orders[[#This Row],[Customer ID]],customers!$A$2:$A$1001,customers!$I$2:$I$1001,,0)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robosta</v>
      </c>
      <c r="O207" t="str">
        <f t="shared" si="11"/>
        <v>Dark</v>
      </c>
      <c r="P207" t="str">
        <f>_xlfn.XLOOKUP(Orders[[#This Row],[Customer ID]],customers!$A$2:$A$1001,customers!$I$2:$I$1001,,0)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v>
      </c>
      <c r="O208" t="str">
        <f t="shared" si="11"/>
        <v>Medium</v>
      </c>
      <c r="P208" t="str">
        <f>_xlfn.XLOOKUP(Orders[[#This Row],[Customer ID]],customers!$A$2:$A$1001,customers!$I$2:$I$1001,,0)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v>
      </c>
      <c r="O209" t="str">
        <f t="shared" si="11"/>
        <v>Medium</v>
      </c>
      <c r="P209" t="str">
        <f>_xlfn.XLOOKUP(Orders[[#This Row],[Customer ID]],customers!$A$2:$A$1001,customers!$I$2:$I$1001,,0)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_xlfn.XLOOKUP(Orders[[#This Row],[Customer ID]],customers!$A$2:$A$1001,customers!$I$2:$I$1001,,0)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v>
      </c>
      <c r="O211" t="str">
        <f t="shared" si="11"/>
        <v>Medium</v>
      </c>
      <c r="P211" t="str">
        <f>_xlfn.XLOOKUP(Orders[[#This Row],[Customer ID]],customers!$A$2:$A$1001,customers!$I$2:$I$1001,,0)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_xlfn.XLOOKUP(Orders[[#This Row],[Customer ID]],customers!$A$2:$A$1001,customers!$I$2:$I$1001,,0)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_xlfn.XLOOKUP(Orders[[#This Row],[Customer ID]],customers!$A$2:$A$1001,customers!$I$2:$I$1001,,0)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_xlfn.XLOOKUP(Orders[[#This Row],[Customer ID]],customers!$A$2:$A$1001,customers!$I$2:$I$1001,,0)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robosta</v>
      </c>
      <c r="O215" t="str">
        <f t="shared" si="11"/>
        <v>Dark</v>
      </c>
      <c r="P215" t="str">
        <f>_xlfn.XLOOKUP(Orders[[#This Row],[Customer ID]],customers!$A$2:$A$1001,customers!$I$2:$I$1001,,0)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_xlfn.XLOOKUP(Orders[[#This Row],[Customer ID]],customers!$A$2:$A$1001,customers!$I$2:$I$1001,,0)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_xlfn.XLOOKUP(Orders[[#This Row],[Customer ID]],customers!$A$2:$A$1001,customers!$I$2:$I$1001,,0)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_xlfn.XLOOKUP(Orders[[#This Row],[Customer ID]],customers!$A$2:$A$1001,customers!$I$2:$I$1001,,0)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_xlfn.XLOOKUP(Orders[[#This Row],[Customer ID]],customers!$A$2:$A$1001,customers!$I$2:$I$1001,,0)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v>
      </c>
      <c r="O220" t="str">
        <f t="shared" si="11"/>
        <v>Medium</v>
      </c>
      <c r="P220" t="str">
        <f>_xlfn.XLOOKUP(Orders[[#This Row],[Customer ID]],customers!$A$2:$A$1001,customers!$I$2:$I$1001,,0)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robosta</v>
      </c>
      <c r="O221" t="str">
        <f t="shared" si="11"/>
        <v>Light</v>
      </c>
      <c r="P221" t="str">
        <f>_xlfn.XLOOKUP(Orders[[#This Row],[Customer ID]],customers!$A$2:$A$1001,customers!$I$2:$I$1001,,0)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robosta</v>
      </c>
      <c r="O222" t="str">
        <f t="shared" si="11"/>
        <v>Medium</v>
      </c>
      <c r="P222" t="str">
        <f>_xlfn.XLOOKUP(Orders[[#This Row],[Customer ID]],customers!$A$2:$A$1001,customers!$I$2:$I$1001,,0)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v>
      </c>
      <c r="O223" t="str">
        <f t="shared" si="11"/>
        <v>Light</v>
      </c>
      <c r="P223" t="str">
        <f>_xlfn.XLOOKUP(Orders[[#This Row],[Customer ID]],customers!$A$2:$A$1001,customers!$I$2:$I$1001,,0)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_xlfn.XLOOKUP(Orders[[#This Row],[Customer ID]],customers!$A$2:$A$1001,customers!$I$2:$I$1001,,0)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_xlfn.XLOOKUP(Orders[[#This Row],[Customer ID]],customers!$A$2:$A$1001,customers!$I$2:$I$1001,,0)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ID]],customers!$A$2:$A$1001,customers!$I$2:$I$1001,,0)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robosta</v>
      </c>
      <c r="O227" t="str">
        <f t="shared" si="11"/>
        <v>Light</v>
      </c>
      <c r="P227" t="str">
        <f>_xlfn.XLOOKUP(Orders[[#This Row],[Customer ID]],customers!$A$2:$A$1001,customers!$I$2:$I$1001,,0)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v>
      </c>
      <c r="O228" t="str">
        <f t="shared" si="11"/>
        <v>Medium</v>
      </c>
      <c r="P228" t="str">
        <f>_xlfn.XLOOKUP(Orders[[#This Row],[Customer ID]],customers!$A$2:$A$1001,customers!$I$2:$I$1001,,0)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robosta</v>
      </c>
      <c r="O229" t="str">
        <f t="shared" si="11"/>
        <v>Dark</v>
      </c>
      <c r="P229" t="str">
        <f>_xlfn.XLOOKUP(Orders[[#This Row],[Customer ID]],customers!$A$2:$A$1001,customers!$I$2:$I$1001,,0)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robosta</v>
      </c>
      <c r="O230" t="str">
        <f t="shared" si="11"/>
        <v>Light</v>
      </c>
      <c r="P230" t="str">
        <f>_xlfn.XLOOKUP(Orders[[#This Row],[Customer ID]],customers!$A$2:$A$1001,customers!$I$2:$I$1001,,0)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_xlfn.XLOOKUP(Orders[[#This Row],[Customer ID]],customers!$A$2:$A$1001,customers!$I$2:$I$1001,,0)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v>
      </c>
      <c r="O232" t="str">
        <f t="shared" si="11"/>
        <v>Medium</v>
      </c>
      <c r="P232" t="str">
        <f>_xlfn.XLOOKUP(Orders[[#This Row],[Customer ID]],customers!$A$2:$A$1001,customers!$I$2:$I$1001,,0)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_xlfn.XLOOKUP(Orders[[#This Row],[Customer ID]],customers!$A$2:$A$1001,customers!$I$2:$I$1001,,0)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ID]],customers!$A$2:$A$1001,customers!$I$2:$I$1001,,0)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_xlfn.XLOOKUP(Orders[[#This Row],[Customer ID]],customers!$A$2:$A$1001,customers!$I$2:$I$1001,,0)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ID]],customers!$A$2:$A$1001,customers!$I$2:$I$1001,,0)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ID]],customers!$A$2:$A$1001,customers!$I$2:$I$1001,,0)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ID]],customers!$A$2:$A$1001,customers!$I$2:$I$1001,,0)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robosta</v>
      </c>
      <c r="O239" t="str">
        <f t="shared" si="11"/>
        <v>Light</v>
      </c>
      <c r="P239" t="str">
        <f>_xlfn.XLOOKUP(Orders[[#This Row],[Customer ID]],customers!$A$2:$A$1001,customers!$I$2:$I$1001,,0)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robosta</v>
      </c>
      <c r="O240" t="str">
        <f t="shared" si="11"/>
        <v>Medium</v>
      </c>
      <c r="P240" t="str">
        <f>_xlfn.XLOOKUP(Orders[[#This Row],[Customer ID]],customers!$A$2:$A$1001,customers!$I$2:$I$1001,,0)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_xlfn.XLOOKUP(Orders[[#This Row],[Customer ID]],customers!$A$2:$A$1001,customers!$I$2:$I$1001,,0)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v>
      </c>
      <c r="O242" t="str">
        <f t="shared" si="11"/>
        <v>Medium</v>
      </c>
      <c r="P242" t="str">
        <f>_xlfn.XLOOKUP(Orders[[#This Row],[Customer ID]],customers!$A$2:$A$1001,customers!$I$2:$I$1001,,0)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robosta</v>
      </c>
      <c r="O243" t="str">
        <f t="shared" si="11"/>
        <v>Medium</v>
      </c>
      <c r="P243" t="str">
        <f>_xlfn.XLOOKUP(Orders[[#This Row],[Customer ID]],customers!$A$2:$A$1001,customers!$I$2:$I$1001,,0)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_xlfn.XLOOKUP(Orders[[#This Row],[Customer ID]],customers!$A$2:$A$1001,customers!$I$2:$I$1001,,0)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_xlfn.XLOOKUP(Orders[[#This Row],[Customer ID]],customers!$A$2:$A$1001,customers!$I$2:$I$1001,,0)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ID]],customers!$A$2:$A$1001,customers!$I$2:$I$1001,,0)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ID]],customers!$A$2:$A$1001,customers!$I$2:$I$1001,,0)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_xlfn.XLOOKUP(Orders[[#This Row],[Customer ID]],customers!$A$2:$A$1001,customers!$I$2:$I$1001,,0)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robosta</v>
      </c>
      <c r="O249" t="str">
        <f t="shared" si="11"/>
        <v>Light</v>
      </c>
      <c r="P249" t="str">
        <f>_xlfn.XLOOKUP(Orders[[#This Row],[Customer ID]],customers!$A$2:$A$1001,customers!$I$2:$I$1001,,0)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v>
      </c>
      <c r="O250" t="str">
        <f t="shared" si="11"/>
        <v>Dark</v>
      </c>
      <c r="P250" t="str">
        <f>_xlfn.XLOOKUP(Orders[[#This Row],[Customer ID]],customers!$A$2:$A$1001,customers!$I$2:$I$1001,,0)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_xlfn.XLOOKUP(Orders[[#This Row],[Customer ID]],customers!$A$2:$A$1001,customers!$I$2:$I$1001,,0)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robosta</v>
      </c>
      <c r="O252" t="str">
        <f t="shared" si="11"/>
        <v>Medium</v>
      </c>
      <c r="P252" t="str">
        <f>_xlfn.XLOOKUP(Orders[[#This Row],[Customer ID]],customers!$A$2:$A$1001,customers!$I$2:$I$1001,,0)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_xlfn.XLOOKUP(Orders[[#This Row],[Customer ID]],customers!$A$2:$A$1001,customers!$I$2:$I$1001,,0)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v>
      </c>
      <c r="O254" t="str">
        <f t="shared" si="11"/>
        <v>Dark</v>
      </c>
      <c r="P254" t="str">
        <f>_xlfn.XLOOKUP(Orders[[#This Row],[Customer ID]],customers!$A$2:$A$1001,customers!$I$2:$I$1001,,0)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_xlfn.XLOOKUP(Orders[[#This Row],[Customer ID]],customers!$A$2:$A$1001,customers!$I$2:$I$1001,,0)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robosta</v>
      </c>
      <c r="O256" t="str">
        <f t="shared" si="11"/>
        <v>Light</v>
      </c>
      <c r="P256" t="str">
        <f>_xlfn.XLOOKUP(Orders[[#This Row],[Customer ID]],customers!$A$2:$A$1001,customers!$I$2:$I$1001,,0)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robosta</v>
      </c>
      <c r="O257" t="str">
        <f t="shared" si="11"/>
        <v>Light</v>
      </c>
      <c r="P257" t="str">
        <f>_xlfn.XLOOKUP(Orders[[#This Row],[Customer ID]],customers!$A$2:$A$1001,customers!$I$2:$I$1001,,0)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_xlfn.XLOOKUP(Orders[[#This Row],[Customer ID]],customers!$A$2:$A$1001,customers!$I$2:$I$1001,,0)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IF(I259="Rob","robosta",IF(I259="Exc","Excelsa",IF(I259="Ara","Arabic",IF(I259="Lib","Liberica"))))</f>
        <v>Excelsa</v>
      </c>
      <c r="O259" t="str">
        <f t="shared" ref="O259:O322" si="14">IF(J259="m","Medium",IF(J259="L","Light",IF(J259="D","Dark","")))</f>
        <v>Dark</v>
      </c>
      <c r="P259" t="str">
        <f>_xlfn.XLOOKUP(Orders[[#This Row],[Customer ID]],customers!$A$2:$A$1001,customers!$I$2:$I$1001,,0)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_xlfn.XLOOKUP(Orders[[#This Row],[Customer ID]],customers!$A$2:$A$1001,customers!$I$2:$I$1001,,0)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robosta</v>
      </c>
      <c r="O261" t="str">
        <f t="shared" si="14"/>
        <v>Medium</v>
      </c>
      <c r="P261" t="str">
        <f>_xlfn.XLOOKUP(Orders[[#This Row],[Customer ID]],customers!$A$2:$A$1001,customers!$I$2:$I$1001,,0)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robosta</v>
      </c>
      <c r="O262" t="str">
        <f t="shared" si="14"/>
        <v>Light</v>
      </c>
      <c r="P262" t="str">
        <f>_xlfn.XLOOKUP(Orders[[#This Row],[Customer ID]],customers!$A$2:$A$1001,customers!$I$2:$I$1001,,0)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robosta</v>
      </c>
      <c r="O263" t="str">
        <f t="shared" si="14"/>
        <v>Light</v>
      </c>
      <c r="P263" t="str">
        <f>_xlfn.XLOOKUP(Orders[[#This Row],[Customer ID]],customers!$A$2:$A$1001,customers!$I$2:$I$1001,,0)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_xlfn.XLOOKUP(Orders[[#This Row],[Customer ID]],customers!$A$2:$A$1001,customers!$I$2:$I$1001,,0)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ID]],customers!$A$2:$A$1001,customers!$I$2:$I$1001,,0)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robosta</v>
      </c>
      <c r="O266" t="str">
        <f t="shared" si="14"/>
        <v>Light</v>
      </c>
      <c r="P266" t="str">
        <f>_xlfn.XLOOKUP(Orders[[#This Row],[Customer ID]],customers!$A$2:$A$1001,customers!$I$2:$I$1001,,0)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v>
      </c>
      <c r="O267" t="str">
        <f t="shared" si="14"/>
        <v>Dark</v>
      </c>
      <c r="P267" t="str">
        <f>_xlfn.XLOOKUP(Orders[[#This Row],[Customer ID]],customers!$A$2:$A$1001,customers!$I$2:$I$1001,,0)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_xlfn.XLOOKUP(Orders[[#This Row],[Customer ID]],customers!$A$2:$A$1001,customers!$I$2:$I$1001,,0)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_xlfn.XLOOKUP(Orders[[#This Row],[Customer ID]],customers!$A$2:$A$1001,customers!$I$2:$I$1001,,0)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v>
      </c>
      <c r="O270" t="str">
        <f t="shared" si="14"/>
        <v>Dark</v>
      </c>
      <c r="P270" t="str">
        <f>_xlfn.XLOOKUP(Orders[[#This Row],[Customer ID]],customers!$A$2:$A$1001,customers!$I$2:$I$1001,,0)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v>
      </c>
      <c r="O271" t="str">
        <f t="shared" si="14"/>
        <v>Dark</v>
      </c>
      <c r="P271" t="str">
        <f>_xlfn.XLOOKUP(Orders[[#This Row],[Customer ID]],customers!$A$2:$A$1001,customers!$I$2:$I$1001,,0)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_xlfn.XLOOKUP(Orders[[#This Row],[Customer ID]],customers!$A$2:$A$1001,customers!$I$2:$I$1001,,0)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v>
      </c>
      <c r="O273" t="str">
        <f t="shared" si="14"/>
        <v>Dark</v>
      </c>
      <c r="P273" t="str">
        <f>_xlfn.XLOOKUP(Orders[[#This Row],[Customer ID]],customers!$A$2:$A$1001,customers!$I$2:$I$1001,,0)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robosta</v>
      </c>
      <c r="O274" t="str">
        <f t="shared" si="14"/>
        <v>Light</v>
      </c>
      <c r="P274" t="str">
        <f>_xlfn.XLOOKUP(Orders[[#This Row],[Customer ID]],customers!$A$2:$A$1001,customers!$I$2:$I$1001,,0)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v>
      </c>
      <c r="O275" t="str">
        <f t="shared" si="14"/>
        <v>Light</v>
      </c>
      <c r="P275" t="str">
        <f>_xlfn.XLOOKUP(Orders[[#This Row],[Customer ID]],customers!$A$2:$A$1001,customers!$I$2:$I$1001,,0)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v>
      </c>
      <c r="O276" t="str">
        <f t="shared" si="14"/>
        <v>Medium</v>
      </c>
      <c r="P276" t="str">
        <f>_xlfn.XLOOKUP(Orders[[#This Row],[Customer ID]],customers!$A$2:$A$1001,customers!$I$2:$I$1001,,0)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ID]],customers!$A$2:$A$1001,customers!$I$2:$I$1001,,0)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robosta</v>
      </c>
      <c r="O278" t="str">
        <f t="shared" si="14"/>
        <v>Light</v>
      </c>
      <c r="P278" t="str">
        <f>_xlfn.XLOOKUP(Orders[[#This Row],[Customer ID]],customers!$A$2:$A$1001,customers!$I$2:$I$1001,,0)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_xlfn.XLOOKUP(Orders[[#This Row],[Customer ID]],customers!$A$2:$A$1001,customers!$I$2:$I$1001,,0)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v>
      </c>
      <c r="O280" t="str">
        <f t="shared" si="14"/>
        <v>Light</v>
      </c>
      <c r="P280" t="str">
        <f>_xlfn.XLOOKUP(Orders[[#This Row],[Customer ID]],customers!$A$2:$A$1001,customers!$I$2:$I$1001,,0)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ID]],customers!$A$2:$A$1001,customers!$I$2:$I$1001,,0)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_xlfn.XLOOKUP(Orders[[#This Row],[Customer ID]],customers!$A$2:$A$1001,customers!$I$2:$I$1001,,0)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_xlfn.XLOOKUP(Orders[[#This Row],[Customer ID]],customers!$A$2:$A$1001,customers!$I$2:$I$1001,,0)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v>
      </c>
      <c r="O284" t="str">
        <f t="shared" si="14"/>
        <v>Light</v>
      </c>
      <c r="P284" t="str">
        <f>_xlfn.XLOOKUP(Orders[[#This Row],[Customer ID]],customers!$A$2:$A$1001,customers!$I$2:$I$1001,,0)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robosta</v>
      </c>
      <c r="O285" t="str">
        <f t="shared" si="14"/>
        <v>Dark</v>
      </c>
      <c r="P285" t="str">
        <f>_xlfn.XLOOKUP(Orders[[#This Row],[Customer ID]],customers!$A$2:$A$1001,customers!$I$2:$I$1001,,0)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ID]],customers!$A$2:$A$1001,customers!$I$2:$I$1001,,0)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ID]],customers!$A$2:$A$1001,customers!$I$2:$I$1001,,0)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v>
      </c>
      <c r="O288" t="str">
        <f t="shared" si="14"/>
        <v>Medium</v>
      </c>
      <c r="P288" t="str">
        <f>_xlfn.XLOOKUP(Orders[[#This Row],[Customer ID]],customers!$A$2:$A$1001,customers!$I$2:$I$1001,,0)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robosta</v>
      </c>
      <c r="O289" t="str">
        <f t="shared" si="14"/>
        <v>Light</v>
      </c>
      <c r="P289" t="str">
        <f>_xlfn.XLOOKUP(Orders[[#This Row],[Customer ID]],customers!$A$2:$A$1001,customers!$I$2:$I$1001,,0)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_xlfn.XLOOKUP(Orders[[#This Row],[Customer ID]],customers!$A$2:$A$1001,customers!$I$2:$I$1001,,0)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robosta</v>
      </c>
      <c r="O291" t="str">
        <f t="shared" si="14"/>
        <v>Dark</v>
      </c>
      <c r="P291" t="str">
        <f>_xlfn.XLOOKUP(Orders[[#This Row],[Customer ID]],customers!$A$2:$A$1001,customers!$I$2:$I$1001,,0)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v>
      </c>
      <c r="O292" t="str">
        <f t="shared" si="14"/>
        <v>Dark</v>
      </c>
      <c r="P292" t="str">
        <f>_xlfn.XLOOKUP(Orders[[#This Row],[Customer ID]],customers!$A$2:$A$1001,customers!$I$2:$I$1001,,0)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_xlfn.XLOOKUP(Orders[[#This Row],[Customer ID]],customers!$A$2:$A$1001,customers!$I$2:$I$1001,,0)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v>
      </c>
      <c r="O294" t="str">
        <f t="shared" si="14"/>
        <v>Dark</v>
      </c>
      <c r="P294" t="str">
        <f>_xlfn.XLOOKUP(Orders[[#This Row],[Customer ID]],customers!$A$2:$A$1001,customers!$I$2:$I$1001,,0)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v>
      </c>
      <c r="O295" t="str">
        <f t="shared" si="14"/>
        <v>Dark</v>
      </c>
      <c r="P295" t="str">
        <f>_xlfn.XLOOKUP(Orders[[#This Row],[Customer ID]],customers!$A$2:$A$1001,customers!$I$2:$I$1001,,0)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_xlfn.XLOOKUP(Orders[[#This Row],[Customer ID]],customers!$A$2:$A$1001,customers!$I$2:$I$1001,,0)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_xlfn.XLOOKUP(Orders[[#This Row],[Customer ID]],customers!$A$2:$A$1001,customers!$I$2:$I$1001,,0)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robosta</v>
      </c>
      <c r="O298" t="str">
        <f t="shared" si="14"/>
        <v>Medium</v>
      </c>
      <c r="P298" t="str">
        <f>_xlfn.XLOOKUP(Orders[[#This Row],[Customer ID]],customers!$A$2:$A$1001,customers!$I$2:$I$1001,,0)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robosta</v>
      </c>
      <c r="O299" t="str">
        <f t="shared" si="14"/>
        <v>Dark</v>
      </c>
      <c r="P299" t="str">
        <f>_xlfn.XLOOKUP(Orders[[#This Row],[Customer ID]],customers!$A$2:$A$1001,customers!$I$2:$I$1001,,0)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_xlfn.XLOOKUP(Orders[[#This Row],[Customer ID]],customers!$A$2:$A$1001,customers!$I$2:$I$1001,,0)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ID]],customers!$A$2:$A$1001,customers!$I$2:$I$1001,,0)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v>
      </c>
      <c r="O302" t="str">
        <f t="shared" si="14"/>
        <v>Light</v>
      </c>
      <c r="P302" t="str">
        <f>_xlfn.XLOOKUP(Orders[[#This Row],[Customer ID]],customers!$A$2:$A$1001,customers!$I$2:$I$1001,,0)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_xlfn.XLOOKUP(Orders[[#This Row],[Customer ID]],customers!$A$2:$A$1001,customers!$I$2:$I$1001,,0)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v>
      </c>
      <c r="O304" t="str">
        <f t="shared" si="14"/>
        <v>Medium</v>
      </c>
      <c r="P304" t="str">
        <f>_xlfn.XLOOKUP(Orders[[#This Row],[Customer ID]],customers!$A$2:$A$1001,customers!$I$2:$I$1001,,0)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_xlfn.XLOOKUP(Orders[[#This Row],[Customer ID]],customers!$A$2:$A$1001,customers!$I$2:$I$1001,,0)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v>
      </c>
      <c r="O306" t="str">
        <f t="shared" si="14"/>
        <v>Light</v>
      </c>
      <c r="P306" t="str">
        <f>_xlfn.XLOOKUP(Orders[[#This Row],[Customer ID]],customers!$A$2:$A$1001,customers!$I$2:$I$1001,,0)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ID]],customers!$A$2:$A$1001,customers!$I$2:$I$1001,,0)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robosta</v>
      </c>
      <c r="O308" t="str">
        <f t="shared" si="14"/>
        <v>Medium</v>
      </c>
      <c r="P308" t="str">
        <f>_xlfn.XLOOKUP(Orders[[#This Row],[Customer ID]],customers!$A$2:$A$1001,customers!$I$2:$I$1001,,0)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v>
      </c>
      <c r="O309" t="str">
        <f t="shared" si="14"/>
        <v>Medium</v>
      </c>
      <c r="P309" t="str">
        <f>_xlfn.XLOOKUP(Orders[[#This Row],[Customer ID]],customers!$A$2:$A$1001,customers!$I$2:$I$1001,,0)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v>
      </c>
      <c r="O310" t="str">
        <f t="shared" si="14"/>
        <v>Medium</v>
      </c>
      <c r="P310" t="str">
        <f>_xlfn.XLOOKUP(Orders[[#This Row],[Customer ID]],customers!$A$2:$A$1001,customers!$I$2:$I$1001,,0)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_xlfn.XLOOKUP(Orders[[#This Row],[Customer ID]],customers!$A$2:$A$1001,customers!$I$2:$I$1001,,0)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_xlfn.XLOOKUP(Orders[[#This Row],[Customer ID]],customers!$A$2:$A$1001,customers!$I$2:$I$1001,,0)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ID]],customers!$A$2:$A$1001,customers!$I$2:$I$1001,,0)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robosta</v>
      </c>
      <c r="O314" t="str">
        <f t="shared" si="14"/>
        <v>Medium</v>
      </c>
      <c r="P314" t="str">
        <f>_xlfn.XLOOKUP(Orders[[#This Row],[Customer ID]],customers!$A$2:$A$1001,customers!$I$2:$I$1001,,0)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robosta</v>
      </c>
      <c r="O315" t="str">
        <f t="shared" si="14"/>
        <v>Medium</v>
      </c>
      <c r="P315" t="str">
        <f>_xlfn.XLOOKUP(Orders[[#This Row],[Customer ID]],customers!$A$2:$A$1001,customers!$I$2:$I$1001,,0)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robosta</v>
      </c>
      <c r="O316" t="str">
        <f t="shared" si="14"/>
        <v>Dark</v>
      </c>
      <c r="P316" t="str">
        <f>_xlfn.XLOOKUP(Orders[[#This Row],[Customer ID]],customers!$A$2:$A$1001,customers!$I$2:$I$1001,,0)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ID]],customers!$A$2:$A$1001,customers!$I$2:$I$1001,,0)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ID]],customers!$A$2:$A$1001,customers!$I$2:$I$1001,,0)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_xlfn.XLOOKUP(Orders[[#This Row],[Customer ID]],customers!$A$2:$A$1001,customers!$I$2:$I$1001,,0)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v>
      </c>
      <c r="O320" t="str">
        <f t="shared" si="14"/>
        <v>Medium</v>
      </c>
      <c r="P320" t="str">
        <f>_xlfn.XLOOKUP(Orders[[#This Row],[Customer ID]],customers!$A$2:$A$1001,customers!$I$2:$I$1001,,0)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_xlfn.XLOOKUP(Orders[[#This Row],[Customer ID]],customers!$A$2:$A$1001,customers!$I$2:$I$1001,,0)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v>
      </c>
      <c r="O322" t="str">
        <f t="shared" si="14"/>
        <v>Light</v>
      </c>
      <c r="P322" t="str">
        <f>_xlfn.XLOOKUP(Orders[[#This Row],[Customer ID]],customers!$A$2:$A$1001,customers!$I$2:$I$1001,,0)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IF(I323="Rob","robosta",IF(I323="Exc","Excelsa",IF(I323="Ara","Arabic",IF(I323="Lib","Liberica"))))</f>
        <v>Arabic</v>
      </c>
      <c r="O323" t="str">
        <f t="shared" ref="O323:O386" si="17">IF(J323="m","Medium",IF(J323="L","Light",IF(J323="D","Dark","")))</f>
        <v>Medium</v>
      </c>
      <c r="P323" t="str">
        <f>_xlfn.XLOOKUP(Orders[[#This Row],[Customer ID]],customers!$A$2:$A$1001,customers!$I$2:$I$1001,,0)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_xlfn.XLOOKUP(Orders[[#This Row],[Customer ID]],customers!$A$2:$A$1001,customers!$I$2:$I$1001,,0)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_xlfn.XLOOKUP(Orders[[#This Row],[Customer ID]],customers!$A$2:$A$1001,customers!$I$2:$I$1001,,0)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_xlfn.XLOOKUP(Orders[[#This Row],[Customer ID]],customers!$A$2:$A$1001,customers!$I$2:$I$1001,,0)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v>
      </c>
      <c r="O327" t="str">
        <f t="shared" si="17"/>
        <v>Light</v>
      </c>
      <c r="P327" t="str">
        <f>_xlfn.XLOOKUP(Orders[[#This Row],[Customer ID]],customers!$A$2:$A$1001,customers!$I$2:$I$1001,,0)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robosta</v>
      </c>
      <c r="O328" t="str">
        <f t="shared" si="17"/>
        <v>Dark</v>
      </c>
      <c r="P328" t="str">
        <f>_xlfn.XLOOKUP(Orders[[#This Row],[Customer ID]],customers!$A$2:$A$1001,customers!$I$2:$I$1001,,0)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robosta</v>
      </c>
      <c r="O329" t="str">
        <f t="shared" si="17"/>
        <v>Dark</v>
      </c>
      <c r="P329" t="str">
        <f>_xlfn.XLOOKUP(Orders[[#This Row],[Customer ID]],customers!$A$2:$A$1001,customers!$I$2:$I$1001,,0)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_xlfn.XLOOKUP(Orders[[#This Row],[Customer ID]],customers!$A$2:$A$1001,customers!$I$2:$I$1001,,0)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robosta</v>
      </c>
      <c r="O331" t="str">
        <f t="shared" si="17"/>
        <v>Dark</v>
      </c>
      <c r="P331" t="str">
        <f>_xlfn.XLOOKUP(Orders[[#This Row],[Customer ID]],customers!$A$2:$A$1001,customers!$I$2:$I$1001,,0)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robosta</v>
      </c>
      <c r="O332" t="str">
        <f t="shared" si="17"/>
        <v>Dark</v>
      </c>
      <c r="P332" t="str">
        <f>_xlfn.XLOOKUP(Orders[[#This Row],[Customer ID]],customers!$A$2:$A$1001,customers!$I$2:$I$1001,,0)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robosta</v>
      </c>
      <c r="O333" t="str">
        <f t="shared" si="17"/>
        <v>Medium</v>
      </c>
      <c r="P333" t="str">
        <f>_xlfn.XLOOKUP(Orders[[#This Row],[Customer ID]],customers!$A$2:$A$1001,customers!$I$2:$I$1001,,0)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v>
      </c>
      <c r="O334" t="str">
        <f t="shared" si="17"/>
        <v>Dark</v>
      </c>
      <c r="P334" t="str">
        <f>_xlfn.XLOOKUP(Orders[[#This Row],[Customer ID]],customers!$A$2:$A$1001,customers!$I$2:$I$1001,,0)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robosta</v>
      </c>
      <c r="O335" t="str">
        <f t="shared" si="17"/>
        <v>Medium</v>
      </c>
      <c r="P335" t="str">
        <f>_xlfn.XLOOKUP(Orders[[#This Row],[Customer ID]],customers!$A$2:$A$1001,customers!$I$2:$I$1001,,0)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robosta</v>
      </c>
      <c r="O336" t="str">
        <f t="shared" si="17"/>
        <v>Light</v>
      </c>
      <c r="P336" t="str">
        <f>_xlfn.XLOOKUP(Orders[[#This Row],[Customer ID]],customers!$A$2:$A$1001,customers!$I$2:$I$1001,,0)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_xlfn.XLOOKUP(Orders[[#This Row],[Customer ID]],customers!$A$2:$A$1001,customers!$I$2:$I$1001,,0)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v>
      </c>
      <c r="O338" t="str">
        <f t="shared" si="17"/>
        <v>Medium</v>
      </c>
      <c r="P338" t="str">
        <f>_xlfn.XLOOKUP(Orders[[#This Row],[Customer ID]],customers!$A$2:$A$1001,customers!$I$2:$I$1001,,0)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_xlfn.XLOOKUP(Orders[[#This Row],[Customer ID]],customers!$A$2:$A$1001,customers!$I$2:$I$1001,,0)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_xlfn.XLOOKUP(Orders[[#This Row],[Customer ID]],customers!$A$2:$A$1001,customers!$I$2:$I$1001,,0)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_xlfn.XLOOKUP(Orders[[#This Row],[Customer ID]],customers!$A$2:$A$1001,customers!$I$2:$I$1001,,0)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_xlfn.XLOOKUP(Orders[[#This Row],[Customer ID]],customers!$A$2:$A$1001,customers!$I$2:$I$1001,,0)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_xlfn.XLOOKUP(Orders[[#This Row],[Customer ID]],customers!$A$2:$A$1001,customers!$I$2:$I$1001,,0)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_xlfn.XLOOKUP(Orders[[#This Row],[Customer ID]],customers!$A$2:$A$1001,customers!$I$2:$I$1001,,0)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robosta</v>
      </c>
      <c r="O345" t="str">
        <f t="shared" si="17"/>
        <v>Dark</v>
      </c>
      <c r="P345" t="str">
        <f>_xlfn.XLOOKUP(Orders[[#This Row],[Customer ID]],customers!$A$2:$A$1001,customers!$I$2:$I$1001,,0)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robosta</v>
      </c>
      <c r="O346" t="str">
        <f t="shared" si="17"/>
        <v>Medium</v>
      </c>
      <c r="P346" t="str">
        <f>_xlfn.XLOOKUP(Orders[[#This Row],[Customer ID]],customers!$A$2:$A$1001,customers!$I$2:$I$1001,,0)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robosta</v>
      </c>
      <c r="O347" t="str">
        <f t="shared" si="17"/>
        <v>Light</v>
      </c>
      <c r="P347" t="str">
        <f>_xlfn.XLOOKUP(Orders[[#This Row],[Customer ID]],customers!$A$2:$A$1001,customers!$I$2:$I$1001,,0)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v>
      </c>
      <c r="O348" t="str">
        <f t="shared" si="17"/>
        <v>Light</v>
      </c>
      <c r="P348" t="str">
        <f>_xlfn.XLOOKUP(Orders[[#This Row],[Customer ID]],customers!$A$2:$A$1001,customers!$I$2:$I$1001,,0)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_xlfn.XLOOKUP(Orders[[#This Row],[Customer ID]],customers!$A$2:$A$1001,customers!$I$2:$I$1001,,0)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ID]],customers!$A$2:$A$1001,customers!$I$2:$I$1001,,0)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robosta</v>
      </c>
      <c r="O351" t="str">
        <f t="shared" si="17"/>
        <v>Light</v>
      </c>
      <c r="P351" t="str">
        <f>_xlfn.XLOOKUP(Orders[[#This Row],[Customer ID]],customers!$A$2:$A$1001,customers!$I$2:$I$1001,,0)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v>
      </c>
      <c r="O352" t="str">
        <f t="shared" si="17"/>
        <v>Dark</v>
      </c>
      <c r="P352" t="str">
        <f>_xlfn.XLOOKUP(Orders[[#This Row],[Customer ID]],customers!$A$2:$A$1001,customers!$I$2:$I$1001,,0)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v>
      </c>
      <c r="O353" t="str">
        <f t="shared" si="17"/>
        <v>Medium</v>
      </c>
      <c r="P353" t="str">
        <f>_xlfn.XLOOKUP(Orders[[#This Row],[Customer ID]],customers!$A$2:$A$1001,customers!$I$2:$I$1001,,0)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_xlfn.XLOOKUP(Orders[[#This Row],[Customer ID]],customers!$A$2:$A$1001,customers!$I$2:$I$1001,,0)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v>
      </c>
      <c r="O355" t="str">
        <f t="shared" si="17"/>
        <v>Medium</v>
      </c>
      <c r="P355" t="str">
        <f>_xlfn.XLOOKUP(Orders[[#This Row],[Customer ID]],customers!$A$2:$A$1001,customers!$I$2:$I$1001,,0)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v>
      </c>
      <c r="O356" t="str">
        <f t="shared" si="17"/>
        <v>Medium</v>
      </c>
      <c r="P356" t="str">
        <f>_xlfn.XLOOKUP(Orders[[#This Row],[Customer ID]],customers!$A$2:$A$1001,customers!$I$2:$I$1001,,0)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v>
      </c>
      <c r="O357" t="str">
        <f t="shared" si="17"/>
        <v>Dark</v>
      </c>
      <c r="P357" t="str">
        <f>_xlfn.XLOOKUP(Orders[[#This Row],[Customer ID]],customers!$A$2:$A$1001,customers!$I$2:$I$1001,,0)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_xlfn.XLOOKUP(Orders[[#This Row],[Customer ID]],customers!$A$2:$A$1001,customers!$I$2:$I$1001,,0)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v>
      </c>
      <c r="O359" t="str">
        <f t="shared" si="17"/>
        <v>Medium</v>
      </c>
      <c r="P359" t="str">
        <f>_xlfn.XLOOKUP(Orders[[#This Row],[Customer ID]],customers!$A$2:$A$1001,customers!$I$2:$I$1001,,0)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v>
      </c>
      <c r="O360" t="str">
        <f t="shared" si="17"/>
        <v>Light</v>
      </c>
      <c r="P360" t="str">
        <f>_xlfn.XLOOKUP(Orders[[#This Row],[Customer ID]],customers!$A$2:$A$1001,customers!$I$2:$I$1001,,0)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robosta</v>
      </c>
      <c r="O361" t="str">
        <f t="shared" si="17"/>
        <v>Light</v>
      </c>
      <c r="P361" t="str">
        <f>_xlfn.XLOOKUP(Orders[[#This Row],[Customer ID]],customers!$A$2:$A$1001,customers!$I$2:$I$1001,,0)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robosta</v>
      </c>
      <c r="O362" t="str">
        <f t="shared" si="17"/>
        <v>Dark</v>
      </c>
      <c r="P362" t="str">
        <f>_xlfn.XLOOKUP(Orders[[#This Row],[Customer ID]],customers!$A$2:$A$1001,customers!$I$2:$I$1001,,0)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robosta</v>
      </c>
      <c r="O363" t="str">
        <f t="shared" si="17"/>
        <v>Medium</v>
      </c>
      <c r="P363" t="str">
        <f>_xlfn.XLOOKUP(Orders[[#This Row],[Customer ID]],customers!$A$2:$A$1001,customers!$I$2:$I$1001,,0)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_xlfn.XLOOKUP(Orders[[#This Row],[Customer ID]],customers!$A$2:$A$1001,customers!$I$2:$I$1001,,0)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_xlfn.XLOOKUP(Orders[[#This Row],[Customer ID]],customers!$A$2:$A$1001,customers!$I$2:$I$1001,,0)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_xlfn.XLOOKUP(Orders[[#This Row],[Customer ID]],customers!$A$2:$A$1001,customers!$I$2:$I$1001,,0)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_xlfn.XLOOKUP(Orders[[#This Row],[Customer ID]],customers!$A$2:$A$1001,customers!$I$2:$I$1001,,0)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_xlfn.XLOOKUP(Orders[[#This Row],[Customer ID]],customers!$A$2:$A$1001,customers!$I$2:$I$1001,,0)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_xlfn.XLOOKUP(Orders[[#This Row],[Customer ID]],customers!$A$2:$A$1001,customers!$I$2:$I$1001,,0)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ID]],customers!$A$2:$A$1001,customers!$I$2:$I$1001,,0)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_xlfn.XLOOKUP(Orders[[#This Row],[Customer ID]],customers!$A$2:$A$1001,customers!$I$2:$I$1001,,0)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_xlfn.XLOOKUP(Orders[[#This Row],[Customer ID]],customers!$A$2:$A$1001,customers!$I$2:$I$1001,,0)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v>
      </c>
      <c r="O373" t="str">
        <f t="shared" si="17"/>
        <v>Light</v>
      </c>
      <c r="P373" t="str">
        <f>_xlfn.XLOOKUP(Orders[[#This Row],[Customer ID]],customers!$A$2:$A$1001,customers!$I$2:$I$1001,,0)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robosta</v>
      </c>
      <c r="O374" t="str">
        <f t="shared" si="17"/>
        <v>Light</v>
      </c>
      <c r="P374" t="str">
        <f>_xlfn.XLOOKUP(Orders[[#This Row],[Customer ID]],customers!$A$2:$A$1001,customers!$I$2:$I$1001,,0)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v>
      </c>
      <c r="O375" t="str">
        <f t="shared" si="17"/>
        <v>Dark</v>
      </c>
      <c r="P375" t="str">
        <f>_xlfn.XLOOKUP(Orders[[#This Row],[Customer ID]],customers!$A$2:$A$1001,customers!$I$2:$I$1001,,0)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_xlfn.XLOOKUP(Orders[[#This Row],[Customer ID]],customers!$A$2:$A$1001,customers!$I$2:$I$1001,,0)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v>
      </c>
      <c r="O377" t="str">
        <f t="shared" si="17"/>
        <v>Medium</v>
      </c>
      <c r="P377" t="str">
        <f>_xlfn.XLOOKUP(Orders[[#This Row],[Customer ID]],customers!$A$2:$A$1001,customers!$I$2:$I$1001,,0)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robosta</v>
      </c>
      <c r="O378" t="str">
        <f t="shared" si="17"/>
        <v>Medium</v>
      </c>
      <c r="P378" t="str">
        <f>_xlfn.XLOOKUP(Orders[[#This Row],[Customer ID]],customers!$A$2:$A$1001,customers!$I$2:$I$1001,,0)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robosta</v>
      </c>
      <c r="O379" t="str">
        <f t="shared" si="17"/>
        <v>Dark</v>
      </c>
      <c r="P379" t="str">
        <f>_xlfn.XLOOKUP(Orders[[#This Row],[Customer ID]],customers!$A$2:$A$1001,customers!$I$2:$I$1001,,0)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v>
      </c>
      <c r="O380" t="str">
        <f t="shared" si="17"/>
        <v>Light</v>
      </c>
      <c r="P380" t="str">
        <f>_xlfn.XLOOKUP(Orders[[#This Row],[Customer ID]],customers!$A$2:$A$1001,customers!$I$2:$I$1001,,0)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robosta</v>
      </c>
      <c r="O381" t="str">
        <f t="shared" si="17"/>
        <v>Light</v>
      </c>
      <c r="P381" t="str">
        <f>_xlfn.XLOOKUP(Orders[[#This Row],[Customer ID]],customers!$A$2:$A$1001,customers!$I$2:$I$1001,,0)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_xlfn.XLOOKUP(Orders[[#This Row],[Customer ID]],customers!$A$2:$A$1001,customers!$I$2:$I$1001,,0)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v>
      </c>
      <c r="O383" t="str">
        <f t="shared" si="17"/>
        <v>Dark</v>
      </c>
      <c r="P383" t="str">
        <f>_xlfn.XLOOKUP(Orders[[#This Row],[Customer ID]],customers!$A$2:$A$1001,customers!$I$2:$I$1001,,0)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_xlfn.XLOOKUP(Orders[[#This Row],[Customer ID]],customers!$A$2:$A$1001,customers!$I$2:$I$1001,,0)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_xlfn.XLOOKUP(Orders[[#This Row],[Customer ID]],customers!$A$2:$A$1001,customers!$I$2:$I$1001,,0)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v>
      </c>
      <c r="O386" t="str">
        <f t="shared" si="17"/>
        <v>Light</v>
      </c>
      <c r="P386" t="str">
        <f>_xlfn.XLOOKUP(Orders[[#This Row],[Customer ID]],customers!$A$2:$A$1001,customers!$I$2:$I$1001,,0)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IF(I387="Rob","robosta",IF(I387="Exc","Excelsa",IF(I387="Ara","Arabic",IF(I387="Lib","Liberica"))))</f>
        <v>Liberica</v>
      </c>
      <c r="O387" t="str">
        <f t="shared" ref="O387:O450" si="20">IF(J387="m","Medium",IF(J387="L","Light",IF(J387="D","Dark","")))</f>
        <v>Medium</v>
      </c>
      <c r="P387" t="str">
        <f>_xlfn.XLOOKUP(Orders[[#This Row],[Customer ID]],customers!$A$2:$A$1001,customers!$I$2:$I$1001,,0)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v>
      </c>
      <c r="O388" t="str">
        <f t="shared" si="20"/>
        <v>Dark</v>
      </c>
      <c r="P388" t="str">
        <f>_xlfn.XLOOKUP(Orders[[#This Row],[Customer ID]],customers!$A$2:$A$1001,customers!$I$2:$I$1001,,0)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_xlfn.XLOOKUP(Orders[[#This Row],[Customer ID]],customers!$A$2:$A$1001,customers!$I$2:$I$1001,,0)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ID]],customers!$A$2:$A$1001,customers!$I$2:$I$1001,,0)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_xlfn.XLOOKUP(Orders[[#This Row],[Customer ID]],customers!$A$2:$A$1001,customers!$I$2:$I$1001,,0)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_xlfn.XLOOKUP(Orders[[#This Row],[Customer ID]],customers!$A$2:$A$1001,customers!$I$2:$I$1001,,0)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v>
      </c>
      <c r="O393" t="str">
        <f t="shared" si="20"/>
        <v>Medium</v>
      </c>
      <c r="P393" t="str">
        <f>_xlfn.XLOOKUP(Orders[[#This Row],[Customer ID]],customers!$A$2:$A$1001,customers!$I$2:$I$1001,,0)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_xlfn.XLOOKUP(Orders[[#This Row],[Customer ID]],customers!$A$2:$A$1001,customers!$I$2:$I$1001,,0)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v>
      </c>
      <c r="O395" t="str">
        <f t="shared" si="20"/>
        <v>Light</v>
      </c>
      <c r="P395" t="str">
        <f>_xlfn.XLOOKUP(Orders[[#This Row],[Customer ID]],customers!$A$2:$A$1001,customers!$I$2:$I$1001,,0)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robosta</v>
      </c>
      <c r="O396" t="str">
        <f t="shared" si="20"/>
        <v>Light</v>
      </c>
      <c r="P396" t="str">
        <f>_xlfn.XLOOKUP(Orders[[#This Row],[Customer ID]],customers!$A$2:$A$1001,customers!$I$2:$I$1001,,0)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_xlfn.XLOOKUP(Orders[[#This Row],[Customer ID]],customers!$A$2:$A$1001,customers!$I$2:$I$1001,,0)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v>
      </c>
      <c r="O398" t="str">
        <f t="shared" si="20"/>
        <v>Light</v>
      </c>
      <c r="P398" t="str">
        <f>_xlfn.XLOOKUP(Orders[[#This Row],[Customer ID]],customers!$A$2:$A$1001,customers!$I$2:$I$1001,,0)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_xlfn.XLOOKUP(Orders[[#This Row],[Customer ID]],customers!$A$2:$A$1001,customers!$I$2:$I$1001,,0)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v>
      </c>
      <c r="O400" t="str">
        <f t="shared" si="20"/>
        <v>Dark</v>
      </c>
      <c r="P400" t="str">
        <f>_xlfn.XLOOKUP(Orders[[#This Row],[Customer ID]],customers!$A$2:$A$1001,customers!$I$2:$I$1001,,0)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_xlfn.XLOOKUP(Orders[[#This Row],[Customer ID]],customers!$A$2:$A$1001,customers!$I$2:$I$1001,,0)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_xlfn.XLOOKUP(Orders[[#This Row],[Customer ID]],customers!$A$2:$A$1001,customers!$I$2:$I$1001,,0)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_xlfn.XLOOKUP(Orders[[#This Row],[Customer ID]],customers!$A$2:$A$1001,customers!$I$2:$I$1001,,0)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robosta</v>
      </c>
      <c r="O404" t="str">
        <f t="shared" si="20"/>
        <v>Dark</v>
      </c>
      <c r="P404" t="str">
        <f>_xlfn.XLOOKUP(Orders[[#This Row],[Customer ID]],customers!$A$2:$A$1001,customers!$I$2:$I$1001,,0)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_xlfn.XLOOKUP(Orders[[#This Row],[Customer ID]],customers!$A$2:$A$1001,customers!$I$2:$I$1001,,0)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v>
      </c>
      <c r="O406" t="str">
        <f t="shared" si="20"/>
        <v>Dark</v>
      </c>
      <c r="P406" t="str">
        <f>_xlfn.XLOOKUP(Orders[[#This Row],[Customer ID]],customers!$A$2:$A$1001,customers!$I$2:$I$1001,,0)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_xlfn.XLOOKUP(Orders[[#This Row],[Customer ID]],customers!$A$2:$A$1001,customers!$I$2:$I$1001,,0)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_xlfn.XLOOKUP(Orders[[#This Row],[Customer ID]],customers!$A$2:$A$1001,customers!$I$2:$I$1001,,0)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_xlfn.XLOOKUP(Orders[[#This Row],[Customer ID]],customers!$A$2:$A$1001,customers!$I$2:$I$1001,,0)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v>
      </c>
      <c r="O410" t="str">
        <f t="shared" si="20"/>
        <v>Medium</v>
      </c>
      <c r="P410" t="str">
        <f>_xlfn.XLOOKUP(Orders[[#This Row],[Customer ID]],customers!$A$2:$A$1001,customers!$I$2:$I$1001,,0)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_xlfn.XLOOKUP(Orders[[#This Row],[Customer ID]],customers!$A$2:$A$1001,customers!$I$2:$I$1001,,0)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v>
      </c>
      <c r="O412" t="str">
        <f t="shared" si="20"/>
        <v>Light</v>
      </c>
      <c r="P412" t="str">
        <f>_xlfn.XLOOKUP(Orders[[#This Row],[Customer ID]],customers!$A$2:$A$1001,customers!$I$2:$I$1001,,0)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_xlfn.XLOOKUP(Orders[[#This Row],[Customer ID]],customers!$A$2:$A$1001,customers!$I$2:$I$1001,,0)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v>
      </c>
      <c r="O414" t="str">
        <f t="shared" si="20"/>
        <v>Medium</v>
      </c>
      <c r="P414" t="str">
        <f>_xlfn.XLOOKUP(Orders[[#This Row],[Customer ID]],customers!$A$2:$A$1001,customers!$I$2:$I$1001,,0)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ID]],customers!$A$2:$A$1001,customers!$I$2:$I$1001,,0)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robosta</v>
      </c>
      <c r="O416" t="str">
        <f t="shared" si="20"/>
        <v>Light</v>
      </c>
      <c r="P416" t="str">
        <f>_xlfn.XLOOKUP(Orders[[#This Row],[Customer ID]],customers!$A$2:$A$1001,customers!$I$2:$I$1001,,0)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robosta</v>
      </c>
      <c r="O417" t="str">
        <f t="shared" si="20"/>
        <v>Medium</v>
      </c>
      <c r="P417" t="str">
        <f>_xlfn.XLOOKUP(Orders[[#This Row],[Customer ID]],customers!$A$2:$A$1001,customers!$I$2:$I$1001,,0)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v>
      </c>
      <c r="O418" t="str">
        <f t="shared" si="20"/>
        <v>Light</v>
      </c>
      <c r="P418" t="str">
        <f>_xlfn.XLOOKUP(Orders[[#This Row],[Customer ID]],customers!$A$2:$A$1001,customers!$I$2:$I$1001,,0)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v>
      </c>
      <c r="O419" t="str">
        <f t="shared" si="20"/>
        <v>Light</v>
      </c>
      <c r="P419" t="str">
        <f>_xlfn.XLOOKUP(Orders[[#This Row],[Customer ID]],customers!$A$2:$A$1001,customers!$I$2:$I$1001,,0)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v>
      </c>
      <c r="O420" t="str">
        <f t="shared" si="20"/>
        <v>Light</v>
      </c>
      <c r="P420" t="str">
        <f>_xlfn.XLOOKUP(Orders[[#This Row],[Customer ID]],customers!$A$2:$A$1001,customers!$I$2:$I$1001,,0)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_xlfn.XLOOKUP(Orders[[#This Row],[Customer ID]],customers!$A$2:$A$1001,customers!$I$2:$I$1001,,0)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_xlfn.XLOOKUP(Orders[[#This Row],[Customer ID]],customers!$A$2:$A$1001,customers!$I$2:$I$1001,,0)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v>
      </c>
      <c r="O423" t="str">
        <f t="shared" si="20"/>
        <v>Dark</v>
      </c>
      <c r="P423" t="str">
        <f>_xlfn.XLOOKUP(Orders[[#This Row],[Customer ID]],customers!$A$2:$A$1001,customers!$I$2:$I$1001,,0)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v>
      </c>
      <c r="O424" t="str">
        <f t="shared" si="20"/>
        <v>Dark</v>
      </c>
      <c r="P424" t="str">
        <f>_xlfn.XLOOKUP(Orders[[#This Row],[Customer ID]],customers!$A$2:$A$1001,customers!$I$2:$I$1001,,0)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robosta</v>
      </c>
      <c r="O425" t="str">
        <f t="shared" si="20"/>
        <v>Medium</v>
      </c>
      <c r="P425" t="str">
        <f>_xlfn.XLOOKUP(Orders[[#This Row],[Customer ID]],customers!$A$2:$A$1001,customers!$I$2:$I$1001,,0)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_xlfn.XLOOKUP(Orders[[#This Row],[Customer ID]],customers!$A$2:$A$1001,customers!$I$2:$I$1001,,0)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robosta</v>
      </c>
      <c r="O427" t="str">
        <f t="shared" si="20"/>
        <v>Dark</v>
      </c>
      <c r="P427" t="str">
        <f>_xlfn.XLOOKUP(Orders[[#This Row],[Customer ID]],customers!$A$2:$A$1001,customers!$I$2:$I$1001,,0)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robosta</v>
      </c>
      <c r="O428" t="str">
        <f t="shared" si="20"/>
        <v>Light</v>
      </c>
      <c r="P428" t="str">
        <f>_xlfn.XLOOKUP(Orders[[#This Row],[Customer ID]],customers!$A$2:$A$1001,customers!$I$2:$I$1001,,0)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v>
      </c>
      <c r="O429" t="str">
        <f t="shared" si="20"/>
        <v>Medium</v>
      </c>
      <c r="P429" t="str">
        <f>_xlfn.XLOOKUP(Orders[[#This Row],[Customer ID]],customers!$A$2:$A$1001,customers!$I$2:$I$1001,,0)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robosta</v>
      </c>
      <c r="O430" t="str">
        <f t="shared" si="20"/>
        <v>Light</v>
      </c>
      <c r="P430" t="str">
        <f>_xlfn.XLOOKUP(Orders[[#This Row],[Customer ID]],customers!$A$2:$A$1001,customers!$I$2:$I$1001,,0)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v>
      </c>
      <c r="O431" t="str">
        <f t="shared" si="20"/>
        <v>Light</v>
      </c>
      <c r="P431" t="str">
        <f>_xlfn.XLOOKUP(Orders[[#This Row],[Customer ID]],customers!$A$2:$A$1001,customers!$I$2:$I$1001,,0)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robosta</v>
      </c>
      <c r="O432" t="str">
        <f t="shared" si="20"/>
        <v>Dark</v>
      </c>
      <c r="P432" t="str">
        <f>_xlfn.XLOOKUP(Orders[[#This Row],[Customer ID]],customers!$A$2:$A$1001,customers!$I$2:$I$1001,,0)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_xlfn.XLOOKUP(Orders[[#This Row],[Customer ID]],customers!$A$2:$A$1001,customers!$I$2:$I$1001,,0)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v>
      </c>
      <c r="O434" t="str">
        <f t="shared" si="20"/>
        <v>Medium</v>
      </c>
      <c r="P434" t="str">
        <f>_xlfn.XLOOKUP(Orders[[#This Row],[Customer ID]],customers!$A$2:$A$1001,customers!$I$2:$I$1001,,0)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ID]],customers!$A$2:$A$1001,customers!$I$2:$I$1001,,0)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v>
      </c>
      <c r="O436" t="str">
        <f t="shared" si="20"/>
        <v>Medium</v>
      </c>
      <c r="P436" t="str">
        <f>_xlfn.XLOOKUP(Orders[[#This Row],[Customer ID]],customers!$A$2:$A$1001,customers!$I$2:$I$1001,,0)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_xlfn.XLOOKUP(Orders[[#This Row],[Customer ID]],customers!$A$2:$A$1001,customers!$I$2:$I$1001,,0)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_xlfn.XLOOKUP(Orders[[#This Row],[Customer ID]],customers!$A$2:$A$1001,customers!$I$2:$I$1001,,0)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ID]],customers!$A$2:$A$1001,customers!$I$2:$I$1001,,0)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_xlfn.XLOOKUP(Orders[[#This Row],[Customer ID]],customers!$A$2:$A$1001,customers!$I$2:$I$1001,,0)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_xlfn.XLOOKUP(Orders[[#This Row],[Customer ID]],customers!$A$2:$A$1001,customers!$I$2:$I$1001,,0)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v>
      </c>
      <c r="O442" t="str">
        <f t="shared" si="20"/>
        <v>Medium</v>
      </c>
      <c r="P442" t="str">
        <f>_xlfn.XLOOKUP(Orders[[#This Row],[Customer ID]],customers!$A$2:$A$1001,customers!$I$2:$I$1001,,0)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_xlfn.XLOOKUP(Orders[[#This Row],[Customer ID]],customers!$A$2:$A$1001,customers!$I$2:$I$1001,,0)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robosta</v>
      </c>
      <c r="O444" t="str">
        <f t="shared" si="20"/>
        <v>Light</v>
      </c>
      <c r="P444" t="str">
        <f>_xlfn.XLOOKUP(Orders[[#This Row],[Customer ID]],customers!$A$2:$A$1001,customers!$I$2:$I$1001,,0)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ID]],customers!$A$2:$A$1001,customers!$I$2:$I$1001,,0)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_xlfn.XLOOKUP(Orders[[#This Row],[Customer ID]],customers!$A$2:$A$1001,customers!$I$2:$I$1001,,0)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ID]],customers!$A$2:$A$1001,customers!$I$2:$I$1001,,0)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_xlfn.XLOOKUP(Orders[[#This Row],[Customer ID]],customers!$A$2:$A$1001,customers!$I$2:$I$1001,,0)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robosta</v>
      </c>
      <c r="O449" t="str">
        <f t="shared" si="20"/>
        <v>Medium</v>
      </c>
      <c r="P449" t="str">
        <f>_xlfn.XLOOKUP(Orders[[#This Row],[Customer ID]],customers!$A$2:$A$1001,customers!$I$2:$I$1001,,0)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robosta</v>
      </c>
      <c r="O450" t="str">
        <f t="shared" si="20"/>
        <v>Light</v>
      </c>
      <c r="P450" t="str">
        <f>_xlfn.XLOOKUP(Orders[[#This Row],[Customer ID]],customers!$A$2:$A$1001,customers!$I$2:$I$1001,,0)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IF(I451="Rob","robosta",IF(I451="Exc","Excelsa",IF(I451="Ara","Arabic",IF(I451="Lib","Liberica"))))</f>
        <v>robosta</v>
      </c>
      <c r="O451" t="str">
        <f t="shared" ref="O451:O514" si="23">IF(J451="m","Medium",IF(J451="L","Light",IF(J451="D","Dark","")))</f>
        <v>Dark</v>
      </c>
      <c r="P451" t="str">
        <f>_xlfn.XLOOKUP(Orders[[#This Row],[Customer ID]],customers!$A$2:$A$1001,customers!$I$2:$I$1001,,0)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ID]],customers!$A$2:$A$1001,customers!$I$2:$I$1001,,0)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robosta</v>
      </c>
      <c r="O453" t="str">
        <f t="shared" si="23"/>
        <v>Dark</v>
      </c>
      <c r="P453" t="str">
        <f>_xlfn.XLOOKUP(Orders[[#This Row],[Customer ID]],customers!$A$2:$A$1001,customers!$I$2:$I$1001,,0)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v>
      </c>
      <c r="O454" t="str">
        <f t="shared" si="23"/>
        <v>Light</v>
      </c>
      <c r="P454" t="str">
        <f>_xlfn.XLOOKUP(Orders[[#This Row],[Customer ID]],customers!$A$2:$A$1001,customers!$I$2:$I$1001,,0)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_xlfn.XLOOKUP(Orders[[#This Row],[Customer ID]],customers!$A$2:$A$1001,customers!$I$2:$I$1001,,0)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robosta</v>
      </c>
      <c r="O456" t="str">
        <f t="shared" si="23"/>
        <v>Dark</v>
      </c>
      <c r="P456" t="str">
        <f>_xlfn.XLOOKUP(Orders[[#This Row],[Customer ID]],customers!$A$2:$A$1001,customers!$I$2:$I$1001,,0)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_xlfn.XLOOKUP(Orders[[#This Row],[Customer ID]],customers!$A$2:$A$1001,customers!$I$2:$I$1001,,0)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robosta</v>
      </c>
      <c r="O458" t="str">
        <f t="shared" si="23"/>
        <v>Dark</v>
      </c>
      <c r="P458" t="str">
        <f>_xlfn.XLOOKUP(Orders[[#This Row],[Customer ID]],customers!$A$2:$A$1001,customers!$I$2:$I$1001,,0)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_xlfn.XLOOKUP(Orders[[#This Row],[Customer ID]],customers!$A$2:$A$1001,customers!$I$2:$I$1001,,0)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v>
      </c>
      <c r="O460" t="str">
        <f t="shared" si="23"/>
        <v>Medium</v>
      </c>
      <c r="P460" t="str">
        <f>_xlfn.XLOOKUP(Orders[[#This Row],[Customer ID]],customers!$A$2:$A$1001,customers!$I$2:$I$1001,,0)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ID]],customers!$A$2:$A$1001,customers!$I$2:$I$1001,,0)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robosta</v>
      </c>
      <c r="O462" t="str">
        <f t="shared" si="23"/>
        <v>Dark</v>
      </c>
      <c r="P462" t="str">
        <f>_xlfn.XLOOKUP(Orders[[#This Row],[Customer ID]],customers!$A$2:$A$1001,customers!$I$2:$I$1001,,0)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robosta</v>
      </c>
      <c r="O463" t="str">
        <f t="shared" si="23"/>
        <v>Dark</v>
      </c>
      <c r="P463" t="str">
        <f>_xlfn.XLOOKUP(Orders[[#This Row],[Customer ID]],customers!$A$2:$A$1001,customers!$I$2:$I$1001,,0)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v>
      </c>
      <c r="O464" t="str">
        <f t="shared" si="23"/>
        <v>Dark</v>
      </c>
      <c r="P464" t="str">
        <f>_xlfn.XLOOKUP(Orders[[#This Row],[Customer ID]],customers!$A$2:$A$1001,customers!$I$2:$I$1001,,0)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_xlfn.XLOOKUP(Orders[[#This Row],[Customer ID]],customers!$A$2:$A$1001,customers!$I$2:$I$1001,,0)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ID]],customers!$A$2:$A$1001,customers!$I$2:$I$1001,,0)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robosta</v>
      </c>
      <c r="O467" t="str">
        <f t="shared" si="23"/>
        <v>Dark</v>
      </c>
      <c r="P467" t="str">
        <f>_xlfn.XLOOKUP(Orders[[#This Row],[Customer ID]],customers!$A$2:$A$1001,customers!$I$2:$I$1001,,0)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v>
      </c>
      <c r="O468" t="str">
        <f t="shared" si="23"/>
        <v>Dark</v>
      </c>
      <c r="P468" t="str">
        <f>_xlfn.XLOOKUP(Orders[[#This Row],[Customer ID]],customers!$A$2:$A$1001,customers!$I$2:$I$1001,,0)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v>
      </c>
      <c r="O469" t="str">
        <f t="shared" si="23"/>
        <v>Dark</v>
      </c>
      <c r="P469" t="str">
        <f>_xlfn.XLOOKUP(Orders[[#This Row],[Customer ID]],customers!$A$2:$A$1001,customers!$I$2:$I$1001,,0)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_xlfn.XLOOKUP(Orders[[#This Row],[Customer ID]],customers!$A$2:$A$1001,customers!$I$2:$I$1001,,0)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ID]],customers!$A$2:$A$1001,customers!$I$2:$I$1001,,0)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v>
      </c>
      <c r="O472" t="str">
        <f t="shared" si="23"/>
        <v>Medium</v>
      </c>
      <c r="P472" t="str">
        <f>_xlfn.XLOOKUP(Orders[[#This Row],[Customer ID]],customers!$A$2:$A$1001,customers!$I$2:$I$1001,,0)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ID]],customers!$A$2:$A$1001,customers!$I$2:$I$1001,,0)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v>
      </c>
      <c r="O474" t="str">
        <f t="shared" si="23"/>
        <v>Dark</v>
      </c>
      <c r="P474" t="str">
        <f>_xlfn.XLOOKUP(Orders[[#This Row],[Customer ID]],customers!$A$2:$A$1001,customers!$I$2:$I$1001,,0)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v>
      </c>
      <c r="O475" t="str">
        <f t="shared" si="23"/>
        <v>Light</v>
      </c>
      <c r="P475" t="str">
        <f>_xlfn.XLOOKUP(Orders[[#This Row],[Customer ID]],customers!$A$2:$A$1001,customers!$I$2:$I$1001,,0)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ID]],customers!$A$2:$A$1001,customers!$I$2:$I$1001,,0)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_xlfn.XLOOKUP(Orders[[#This Row],[Customer ID]],customers!$A$2:$A$1001,customers!$I$2:$I$1001,,0)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_xlfn.XLOOKUP(Orders[[#This Row],[Customer ID]],customers!$A$2:$A$1001,customers!$I$2:$I$1001,,0)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_xlfn.XLOOKUP(Orders[[#This Row],[Customer ID]],customers!$A$2:$A$1001,customers!$I$2:$I$1001,,0)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robosta</v>
      </c>
      <c r="O480" t="str">
        <f t="shared" si="23"/>
        <v>Dark</v>
      </c>
      <c r="P480" t="str">
        <f>_xlfn.XLOOKUP(Orders[[#This Row],[Customer ID]],customers!$A$2:$A$1001,customers!$I$2:$I$1001,,0)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ID]],customers!$A$2:$A$1001,customers!$I$2:$I$1001,,0)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_xlfn.XLOOKUP(Orders[[#This Row],[Customer ID]],customers!$A$2:$A$1001,customers!$I$2:$I$1001,,0)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robosta</v>
      </c>
      <c r="O483" t="str">
        <f t="shared" si="23"/>
        <v>Light</v>
      </c>
      <c r="P483" t="str">
        <f>_xlfn.XLOOKUP(Orders[[#This Row],[Customer ID]],customers!$A$2:$A$1001,customers!$I$2:$I$1001,,0)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_xlfn.XLOOKUP(Orders[[#This Row],[Customer ID]],customers!$A$2:$A$1001,customers!$I$2:$I$1001,,0)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ID]],customers!$A$2:$A$1001,customers!$I$2:$I$1001,,0)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_xlfn.XLOOKUP(Orders[[#This Row],[Customer ID]],customers!$A$2:$A$1001,customers!$I$2:$I$1001,,0)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robosta</v>
      </c>
      <c r="O487" t="str">
        <f t="shared" si="23"/>
        <v>Light</v>
      </c>
      <c r="P487" t="str">
        <f>_xlfn.XLOOKUP(Orders[[#This Row],[Customer ID]],customers!$A$2:$A$1001,customers!$I$2:$I$1001,,0)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_xlfn.XLOOKUP(Orders[[#This Row],[Customer ID]],customers!$A$2:$A$1001,customers!$I$2:$I$1001,,0)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_xlfn.XLOOKUP(Orders[[#This Row],[Customer ID]],customers!$A$2:$A$1001,customers!$I$2:$I$1001,,0)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robosta</v>
      </c>
      <c r="O490" t="str">
        <f t="shared" si="23"/>
        <v>Medium</v>
      </c>
      <c r="P490" t="str">
        <f>_xlfn.XLOOKUP(Orders[[#This Row],[Customer ID]],customers!$A$2:$A$1001,customers!$I$2:$I$1001,,0)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_xlfn.XLOOKUP(Orders[[#This Row],[Customer ID]],customers!$A$2:$A$1001,customers!$I$2:$I$1001,,0)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_xlfn.XLOOKUP(Orders[[#This Row],[Customer ID]],customers!$A$2:$A$1001,customers!$I$2:$I$1001,,0)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_xlfn.XLOOKUP(Orders[[#This Row],[Customer ID]],customers!$A$2:$A$1001,customers!$I$2:$I$1001,,0)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_xlfn.XLOOKUP(Orders[[#This Row],[Customer ID]],customers!$A$2:$A$1001,customers!$I$2:$I$1001,,0)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robosta</v>
      </c>
      <c r="O495" t="str">
        <f t="shared" si="23"/>
        <v>Medium</v>
      </c>
      <c r="P495" t="str">
        <f>_xlfn.XLOOKUP(Orders[[#This Row],[Customer ID]],customers!$A$2:$A$1001,customers!$I$2:$I$1001,,0)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_xlfn.XLOOKUP(Orders[[#This Row],[Customer ID]],customers!$A$2:$A$1001,customers!$I$2:$I$1001,,0)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_xlfn.XLOOKUP(Orders[[#This Row],[Customer ID]],customers!$A$2:$A$1001,customers!$I$2:$I$1001,,0)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_xlfn.XLOOKUP(Orders[[#This Row],[Customer ID]],customers!$A$2:$A$1001,customers!$I$2:$I$1001,,0)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v>
      </c>
      <c r="O499" t="str">
        <f t="shared" si="23"/>
        <v>Dark</v>
      </c>
      <c r="P499" t="str">
        <f>_xlfn.XLOOKUP(Orders[[#This Row],[Customer ID]],customers!$A$2:$A$1001,customers!$I$2:$I$1001,,0)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robosta</v>
      </c>
      <c r="O500" t="str">
        <f t="shared" si="23"/>
        <v>Medium</v>
      </c>
      <c r="P500" t="str">
        <f>_xlfn.XLOOKUP(Orders[[#This Row],[Customer ID]],customers!$A$2:$A$1001,customers!$I$2:$I$1001,,0)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robosta</v>
      </c>
      <c r="O501" t="str">
        <f t="shared" si="23"/>
        <v>Dark</v>
      </c>
      <c r="P501" t="str">
        <f>_xlfn.XLOOKUP(Orders[[#This Row],[Customer ID]],customers!$A$2:$A$1001,customers!$I$2:$I$1001,,0)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robosta</v>
      </c>
      <c r="O502" t="str">
        <f t="shared" si="23"/>
        <v>Light</v>
      </c>
      <c r="P502" t="str">
        <f>_xlfn.XLOOKUP(Orders[[#This Row],[Customer ID]],customers!$A$2:$A$1001,customers!$I$2:$I$1001,,0)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robosta</v>
      </c>
      <c r="O503" t="str">
        <f t="shared" si="23"/>
        <v>Medium</v>
      </c>
      <c r="P503" t="str">
        <f>_xlfn.XLOOKUP(Orders[[#This Row],[Customer ID]],customers!$A$2:$A$1001,customers!$I$2:$I$1001,,0)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_xlfn.XLOOKUP(Orders[[#This Row],[Customer ID]],customers!$A$2:$A$1001,customers!$I$2:$I$1001,,0)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_xlfn.XLOOKUP(Orders[[#This Row],[Customer ID]],customers!$A$2:$A$1001,customers!$I$2:$I$1001,,0)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ID]],customers!$A$2:$A$1001,customers!$I$2:$I$1001,,0)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_xlfn.XLOOKUP(Orders[[#This Row],[Customer ID]],customers!$A$2:$A$1001,customers!$I$2:$I$1001,,0)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v>
      </c>
      <c r="O508" t="str">
        <f t="shared" si="23"/>
        <v>Light</v>
      </c>
      <c r="P508" t="str">
        <f>_xlfn.XLOOKUP(Orders[[#This Row],[Customer ID]],customers!$A$2:$A$1001,customers!$I$2:$I$1001,,0)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v>
      </c>
      <c r="O509" t="str">
        <f t="shared" si="23"/>
        <v>Light</v>
      </c>
      <c r="P509" t="str">
        <f>_xlfn.XLOOKUP(Orders[[#This Row],[Customer ID]],customers!$A$2:$A$1001,customers!$I$2:$I$1001,,0)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_xlfn.XLOOKUP(Orders[[#This Row],[Customer ID]],customers!$A$2:$A$1001,customers!$I$2:$I$1001,,0)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v>
      </c>
      <c r="O511" t="str">
        <f t="shared" si="23"/>
        <v>Dark</v>
      </c>
      <c r="P511" t="str">
        <f>_xlfn.XLOOKUP(Orders[[#This Row],[Customer ID]],customers!$A$2:$A$1001,customers!$I$2:$I$1001,,0)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robosta</v>
      </c>
      <c r="O512" t="str">
        <f t="shared" si="23"/>
        <v>Light</v>
      </c>
      <c r="P512" t="str">
        <f>_xlfn.XLOOKUP(Orders[[#This Row],[Customer ID]],customers!$A$2:$A$1001,customers!$I$2:$I$1001,,0)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v>
      </c>
      <c r="O513" t="str">
        <f t="shared" si="23"/>
        <v>Medium</v>
      </c>
      <c r="P513" t="str">
        <f>_xlfn.XLOOKUP(Orders[[#This Row],[Customer ID]],customers!$A$2:$A$1001,customers!$I$2:$I$1001,,0)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_xlfn.XLOOKUP(Orders[[#This Row],[Customer ID]],customers!$A$2:$A$1001,customers!$I$2:$I$1001,,0)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IF(I515="Rob","robosta",IF(I515="Exc","Excelsa",IF(I515="Ara","Arabic",IF(I515="Lib","Liberica"))))</f>
        <v>Liberica</v>
      </c>
      <c r="O515" t="str">
        <f t="shared" ref="O515:O578" si="26">IF(J515="m","Medium",IF(J515="L","Light",IF(J515="D","Dark","")))</f>
        <v>Light</v>
      </c>
      <c r="P515" t="str">
        <f>_xlfn.XLOOKUP(Orders[[#This Row],[Customer ID]],customers!$A$2:$A$1001,customers!$I$2:$I$1001,,0)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_xlfn.XLOOKUP(Orders[[#This Row],[Customer ID]],customers!$A$2:$A$1001,customers!$I$2:$I$1001,,0)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robosta</v>
      </c>
      <c r="O517" t="str">
        <f t="shared" si="26"/>
        <v>Light</v>
      </c>
      <c r="P517" t="str">
        <f>_xlfn.XLOOKUP(Orders[[#This Row],[Customer ID]],customers!$A$2:$A$1001,customers!$I$2:$I$1001,,0)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robosta</v>
      </c>
      <c r="O518" t="str">
        <f t="shared" si="26"/>
        <v>Dark</v>
      </c>
      <c r="P518" t="str">
        <f>_xlfn.XLOOKUP(Orders[[#This Row],[Customer ID]],customers!$A$2:$A$1001,customers!$I$2:$I$1001,,0)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_xlfn.XLOOKUP(Orders[[#This Row],[Customer ID]],customers!$A$2:$A$1001,customers!$I$2:$I$1001,,0)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_xlfn.XLOOKUP(Orders[[#This Row],[Customer ID]],customers!$A$2:$A$1001,customers!$I$2:$I$1001,,0)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v>
      </c>
      <c r="O521" t="str">
        <f t="shared" si="26"/>
        <v>Dark</v>
      </c>
      <c r="P521" t="str">
        <f>_xlfn.XLOOKUP(Orders[[#This Row],[Customer ID]],customers!$A$2:$A$1001,customers!$I$2:$I$1001,,0)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ID]],customers!$A$2:$A$1001,customers!$I$2:$I$1001,,0)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robosta</v>
      </c>
      <c r="O523" t="str">
        <f t="shared" si="26"/>
        <v>Medium</v>
      </c>
      <c r="P523" t="str">
        <f>_xlfn.XLOOKUP(Orders[[#This Row],[Customer ID]],customers!$A$2:$A$1001,customers!$I$2:$I$1001,,0)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robosta</v>
      </c>
      <c r="O524" t="str">
        <f t="shared" si="26"/>
        <v>Medium</v>
      </c>
      <c r="P524" t="str">
        <f>_xlfn.XLOOKUP(Orders[[#This Row],[Customer ID]],customers!$A$2:$A$1001,customers!$I$2:$I$1001,,0)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ID]],customers!$A$2:$A$1001,customers!$I$2:$I$1001,,0)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_xlfn.XLOOKUP(Orders[[#This Row],[Customer ID]],customers!$A$2:$A$1001,customers!$I$2:$I$1001,,0)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robosta</v>
      </c>
      <c r="O527" t="str">
        <f t="shared" si="26"/>
        <v>Dark</v>
      </c>
      <c r="P527" t="str">
        <f>_xlfn.XLOOKUP(Orders[[#This Row],[Customer ID]],customers!$A$2:$A$1001,customers!$I$2:$I$1001,,0)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ID]],customers!$A$2:$A$1001,customers!$I$2:$I$1001,,0)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_xlfn.XLOOKUP(Orders[[#This Row],[Customer ID]],customers!$A$2:$A$1001,customers!$I$2:$I$1001,,0)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_xlfn.XLOOKUP(Orders[[#This Row],[Customer ID]],customers!$A$2:$A$1001,customers!$I$2:$I$1001,,0)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robosta</v>
      </c>
      <c r="O531" t="str">
        <f t="shared" si="26"/>
        <v>Medium</v>
      </c>
      <c r="P531" t="str">
        <f>_xlfn.XLOOKUP(Orders[[#This Row],[Customer ID]],customers!$A$2:$A$1001,customers!$I$2:$I$1001,,0)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robosta</v>
      </c>
      <c r="O532" t="str">
        <f t="shared" si="26"/>
        <v>Medium</v>
      </c>
      <c r="P532" t="str">
        <f>_xlfn.XLOOKUP(Orders[[#This Row],[Customer ID]],customers!$A$2:$A$1001,customers!$I$2:$I$1001,,0)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robosta</v>
      </c>
      <c r="O533" t="str">
        <f t="shared" si="26"/>
        <v>Dark</v>
      </c>
      <c r="P533" t="str">
        <f>_xlfn.XLOOKUP(Orders[[#This Row],[Customer ID]],customers!$A$2:$A$1001,customers!$I$2:$I$1001,,0)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_xlfn.XLOOKUP(Orders[[#This Row],[Customer ID]],customers!$A$2:$A$1001,customers!$I$2:$I$1001,,0)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robosta</v>
      </c>
      <c r="O535" t="str">
        <f t="shared" si="26"/>
        <v>Dark</v>
      </c>
      <c r="P535" t="str">
        <f>_xlfn.XLOOKUP(Orders[[#This Row],[Customer ID]],customers!$A$2:$A$1001,customers!$I$2:$I$1001,,0)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robosta</v>
      </c>
      <c r="O536" t="str">
        <f t="shared" si="26"/>
        <v>Medium</v>
      </c>
      <c r="P536" t="str">
        <f>_xlfn.XLOOKUP(Orders[[#This Row],[Customer ID]],customers!$A$2:$A$1001,customers!$I$2:$I$1001,,0)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_xlfn.XLOOKUP(Orders[[#This Row],[Customer ID]],customers!$A$2:$A$1001,customers!$I$2:$I$1001,,0)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robosta</v>
      </c>
      <c r="O538" t="str">
        <f t="shared" si="26"/>
        <v>Dark</v>
      </c>
      <c r="P538" t="str">
        <f>_xlfn.XLOOKUP(Orders[[#This Row],[Customer ID]],customers!$A$2:$A$1001,customers!$I$2:$I$1001,,0)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_xlfn.XLOOKUP(Orders[[#This Row],[Customer ID]],customers!$A$2:$A$1001,customers!$I$2:$I$1001,,0)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robosta</v>
      </c>
      <c r="O540" t="str">
        <f t="shared" si="26"/>
        <v>Dark</v>
      </c>
      <c r="P540" t="str">
        <f>_xlfn.XLOOKUP(Orders[[#This Row],[Customer ID]],customers!$A$2:$A$1001,customers!$I$2:$I$1001,,0)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robosta</v>
      </c>
      <c r="O541" t="str">
        <f t="shared" si="26"/>
        <v>Dark</v>
      </c>
      <c r="P541" t="str">
        <f>_xlfn.XLOOKUP(Orders[[#This Row],[Customer ID]],customers!$A$2:$A$1001,customers!$I$2:$I$1001,,0)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_xlfn.XLOOKUP(Orders[[#This Row],[Customer ID]],customers!$A$2:$A$1001,customers!$I$2:$I$1001,,0)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v>
      </c>
      <c r="O543" t="str">
        <f t="shared" si="26"/>
        <v>Dark</v>
      </c>
      <c r="P543" t="str">
        <f>_xlfn.XLOOKUP(Orders[[#This Row],[Customer ID]],customers!$A$2:$A$1001,customers!$I$2:$I$1001,,0)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v>
      </c>
      <c r="O544" t="str">
        <f t="shared" si="26"/>
        <v>Medium</v>
      </c>
      <c r="P544" t="str">
        <f>_xlfn.XLOOKUP(Orders[[#This Row],[Customer ID]],customers!$A$2:$A$1001,customers!$I$2:$I$1001,,0)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robosta</v>
      </c>
      <c r="O545" t="str">
        <f t="shared" si="26"/>
        <v>Light</v>
      </c>
      <c r="P545" t="str">
        <f>_xlfn.XLOOKUP(Orders[[#This Row],[Customer ID]],customers!$A$2:$A$1001,customers!$I$2:$I$1001,,0)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v>
      </c>
      <c r="O546" t="str">
        <f t="shared" si="26"/>
        <v>Light</v>
      </c>
      <c r="P546" t="str">
        <f>_xlfn.XLOOKUP(Orders[[#This Row],[Customer ID]],customers!$A$2:$A$1001,customers!$I$2:$I$1001,,0)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_xlfn.XLOOKUP(Orders[[#This Row],[Customer ID]],customers!$A$2:$A$1001,customers!$I$2:$I$1001,,0)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_xlfn.XLOOKUP(Orders[[#This Row],[Customer ID]],customers!$A$2:$A$1001,customers!$I$2:$I$1001,,0)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robosta</v>
      </c>
      <c r="O549" t="str">
        <f t="shared" si="26"/>
        <v>Light</v>
      </c>
      <c r="P549" t="str">
        <f>_xlfn.XLOOKUP(Orders[[#This Row],[Customer ID]],customers!$A$2:$A$1001,customers!$I$2:$I$1001,,0)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_xlfn.XLOOKUP(Orders[[#This Row],[Customer ID]],customers!$A$2:$A$1001,customers!$I$2:$I$1001,,0)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_xlfn.XLOOKUP(Orders[[#This Row],[Customer ID]],customers!$A$2:$A$1001,customers!$I$2:$I$1001,,0)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_xlfn.XLOOKUP(Orders[[#This Row],[Customer ID]],customers!$A$2:$A$1001,customers!$I$2:$I$1001,,0)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_xlfn.XLOOKUP(Orders[[#This Row],[Customer ID]],customers!$A$2:$A$1001,customers!$I$2:$I$1001,,0)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_xlfn.XLOOKUP(Orders[[#This Row],[Customer ID]],customers!$A$2:$A$1001,customers!$I$2:$I$1001,,0)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_xlfn.XLOOKUP(Orders[[#This Row],[Customer ID]],customers!$A$2:$A$1001,customers!$I$2:$I$1001,,0)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robosta</v>
      </c>
      <c r="O556" t="str">
        <f t="shared" si="26"/>
        <v>Light</v>
      </c>
      <c r="P556" t="str">
        <f>_xlfn.XLOOKUP(Orders[[#This Row],[Customer ID]],customers!$A$2:$A$1001,customers!$I$2:$I$1001,,0)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_xlfn.XLOOKUP(Orders[[#This Row],[Customer ID]],customers!$A$2:$A$1001,customers!$I$2:$I$1001,,0)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_xlfn.XLOOKUP(Orders[[#This Row],[Customer ID]],customers!$A$2:$A$1001,customers!$I$2:$I$1001,,0)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_xlfn.XLOOKUP(Orders[[#This Row],[Customer ID]],customers!$A$2:$A$1001,customers!$I$2:$I$1001,,0)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_xlfn.XLOOKUP(Orders[[#This Row],[Customer ID]],customers!$A$2:$A$1001,customers!$I$2:$I$1001,,0)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v>
      </c>
      <c r="O561" t="str">
        <f t="shared" si="26"/>
        <v>Light</v>
      </c>
      <c r="P561" t="str">
        <f>_xlfn.XLOOKUP(Orders[[#This Row],[Customer ID]],customers!$A$2:$A$1001,customers!$I$2:$I$1001,,0)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ID]],customers!$A$2:$A$1001,customers!$I$2:$I$1001,,0)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v>
      </c>
      <c r="O563" t="str">
        <f t="shared" si="26"/>
        <v>Dark</v>
      </c>
      <c r="P563" t="str">
        <f>_xlfn.XLOOKUP(Orders[[#This Row],[Customer ID]],customers!$A$2:$A$1001,customers!$I$2:$I$1001,,0)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_xlfn.XLOOKUP(Orders[[#This Row],[Customer ID]],customers!$A$2:$A$1001,customers!$I$2:$I$1001,,0)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_xlfn.XLOOKUP(Orders[[#This Row],[Customer ID]],customers!$A$2:$A$1001,customers!$I$2:$I$1001,,0)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robosta</v>
      </c>
      <c r="O566" t="str">
        <f t="shared" si="26"/>
        <v>Light</v>
      </c>
      <c r="P566" t="str">
        <f>_xlfn.XLOOKUP(Orders[[#This Row],[Customer ID]],customers!$A$2:$A$1001,customers!$I$2:$I$1001,,0)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robosta</v>
      </c>
      <c r="O567" t="str">
        <f t="shared" si="26"/>
        <v>Dark</v>
      </c>
      <c r="P567" t="str">
        <f>_xlfn.XLOOKUP(Orders[[#This Row],[Customer ID]],customers!$A$2:$A$1001,customers!$I$2:$I$1001,,0)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v>
      </c>
      <c r="O568" t="str">
        <f t="shared" si="26"/>
        <v>Medium</v>
      </c>
      <c r="P568" t="str">
        <f>_xlfn.XLOOKUP(Orders[[#This Row],[Customer ID]],customers!$A$2:$A$1001,customers!$I$2:$I$1001,,0)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robosta</v>
      </c>
      <c r="O569" t="str">
        <f t="shared" si="26"/>
        <v>Light</v>
      </c>
      <c r="P569" t="str">
        <f>_xlfn.XLOOKUP(Orders[[#This Row],[Customer ID]],customers!$A$2:$A$1001,customers!$I$2:$I$1001,,0)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_xlfn.XLOOKUP(Orders[[#This Row],[Customer ID]],customers!$A$2:$A$1001,customers!$I$2:$I$1001,,0)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v>
      </c>
      <c r="O571" t="str">
        <f t="shared" si="26"/>
        <v>Dark</v>
      </c>
      <c r="P571" t="str">
        <f>_xlfn.XLOOKUP(Orders[[#This Row],[Customer ID]],customers!$A$2:$A$1001,customers!$I$2:$I$1001,,0)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v>
      </c>
      <c r="O572" t="str">
        <f t="shared" si="26"/>
        <v>Medium</v>
      </c>
      <c r="P572" t="str">
        <f>_xlfn.XLOOKUP(Orders[[#This Row],[Customer ID]],customers!$A$2:$A$1001,customers!$I$2:$I$1001,,0)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_xlfn.XLOOKUP(Orders[[#This Row],[Customer ID]],customers!$A$2:$A$1001,customers!$I$2:$I$1001,,0)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v>
      </c>
      <c r="O574" t="str">
        <f t="shared" si="26"/>
        <v>Dark</v>
      </c>
      <c r="P574" t="str">
        <f>_xlfn.XLOOKUP(Orders[[#This Row],[Customer ID]],customers!$A$2:$A$1001,customers!$I$2:$I$1001,,0)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v>
      </c>
      <c r="O575" t="str">
        <f t="shared" si="26"/>
        <v>Medium</v>
      </c>
      <c r="P575" t="str">
        <f>_xlfn.XLOOKUP(Orders[[#This Row],[Customer ID]],customers!$A$2:$A$1001,customers!$I$2:$I$1001,,0)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robosta</v>
      </c>
      <c r="O576" t="str">
        <f t="shared" si="26"/>
        <v>Light</v>
      </c>
      <c r="P576" t="str">
        <f>_xlfn.XLOOKUP(Orders[[#This Row],[Customer ID]],customers!$A$2:$A$1001,customers!$I$2:$I$1001,,0)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ID]],customers!$A$2:$A$1001,customers!$I$2:$I$1001,,0)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v>
      </c>
      <c r="O578" t="str">
        <f t="shared" si="26"/>
        <v>Dark</v>
      </c>
      <c r="P578" t="str">
        <f>_xlfn.XLOOKUP(Orders[[#This Row],[Customer ID]],customers!$A$2:$A$1001,customers!$I$2:$I$1001,,0)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IF(I579="Rob","robosta",IF(I579="Exc","Excelsa",IF(I579="Ara","Arabic",IF(I579="Lib","Liberica"))))</f>
        <v>Liberica</v>
      </c>
      <c r="O579" t="str">
        <f t="shared" ref="O579:O642" si="29">IF(J579="m","Medium",IF(J579="L","Light",IF(J579="D","Dark","")))</f>
        <v>Medium</v>
      </c>
      <c r="P579" t="str">
        <f>_xlfn.XLOOKUP(Orders[[#This Row],[Customer ID]],customers!$A$2:$A$1001,customers!$I$2:$I$1001,,0)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_xlfn.XLOOKUP(Orders[[#This Row],[Customer ID]],customers!$A$2:$A$1001,customers!$I$2:$I$1001,,0)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v>
      </c>
      <c r="O581" t="str">
        <f t="shared" si="29"/>
        <v>Medium</v>
      </c>
      <c r="P581" t="str">
        <f>_xlfn.XLOOKUP(Orders[[#This Row],[Customer ID]],customers!$A$2:$A$1001,customers!$I$2:$I$1001,,0)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_xlfn.XLOOKUP(Orders[[#This Row],[Customer ID]],customers!$A$2:$A$1001,customers!$I$2:$I$1001,,0)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_xlfn.XLOOKUP(Orders[[#This Row],[Customer ID]],customers!$A$2:$A$1001,customers!$I$2:$I$1001,,0)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_xlfn.XLOOKUP(Orders[[#This Row],[Customer ID]],customers!$A$2:$A$1001,customers!$I$2:$I$1001,,0)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robosta</v>
      </c>
      <c r="O585" t="str">
        <f t="shared" si="29"/>
        <v>Light</v>
      </c>
      <c r="P585" t="str">
        <f>_xlfn.XLOOKUP(Orders[[#This Row],[Customer ID]],customers!$A$2:$A$1001,customers!$I$2:$I$1001,,0)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robosta</v>
      </c>
      <c r="O586" t="str">
        <f t="shared" si="29"/>
        <v>Light</v>
      </c>
      <c r="P586" t="str">
        <f>_xlfn.XLOOKUP(Orders[[#This Row],[Customer ID]],customers!$A$2:$A$1001,customers!$I$2:$I$1001,,0)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_xlfn.XLOOKUP(Orders[[#This Row],[Customer ID]],customers!$A$2:$A$1001,customers!$I$2:$I$1001,,0)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robosta</v>
      </c>
      <c r="O588" t="str">
        <f t="shared" si="29"/>
        <v>Light</v>
      </c>
      <c r="P588" t="str">
        <f>_xlfn.XLOOKUP(Orders[[#This Row],[Customer ID]],customers!$A$2:$A$1001,customers!$I$2:$I$1001,,0)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_xlfn.XLOOKUP(Orders[[#This Row],[Customer ID]],customers!$A$2:$A$1001,customers!$I$2:$I$1001,,0)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robosta</v>
      </c>
      <c r="O590" t="str">
        <f t="shared" si="29"/>
        <v>Medium</v>
      </c>
      <c r="P590" t="str">
        <f>_xlfn.XLOOKUP(Orders[[#This Row],[Customer ID]],customers!$A$2:$A$1001,customers!$I$2:$I$1001,,0)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ID]],customers!$A$2:$A$1001,customers!$I$2:$I$1001,,0)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ID]],customers!$A$2:$A$1001,customers!$I$2:$I$1001,,0)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robosta</v>
      </c>
      <c r="O593" t="str">
        <f t="shared" si="29"/>
        <v>Dark</v>
      </c>
      <c r="P593" t="str">
        <f>_xlfn.XLOOKUP(Orders[[#This Row],[Customer ID]],customers!$A$2:$A$1001,customers!$I$2:$I$1001,,0)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v>
      </c>
      <c r="O594" t="str">
        <f t="shared" si="29"/>
        <v>Medium</v>
      </c>
      <c r="P594" t="str">
        <f>_xlfn.XLOOKUP(Orders[[#This Row],[Customer ID]],customers!$A$2:$A$1001,customers!$I$2:$I$1001,,0)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_xlfn.XLOOKUP(Orders[[#This Row],[Customer ID]],customers!$A$2:$A$1001,customers!$I$2:$I$1001,,0)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v>
      </c>
      <c r="O596" t="str">
        <f t="shared" si="29"/>
        <v>Light</v>
      </c>
      <c r="P596" t="str">
        <f>_xlfn.XLOOKUP(Orders[[#This Row],[Customer ID]],customers!$A$2:$A$1001,customers!$I$2:$I$1001,,0)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_xlfn.XLOOKUP(Orders[[#This Row],[Customer ID]],customers!$A$2:$A$1001,customers!$I$2:$I$1001,,0)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v>
      </c>
      <c r="O598" t="str">
        <f t="shared" si="29"/>
        <v>Medium</v>
      </c>
      <c r="P598" t="str">
        <f>_xlfn.XLOOKUP(Orders[[#This Row],[Customer ID]],customers!$A$2:$A$1001,customers!$I$2:$I$1001,,0)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_xlfn.XLOOKUP(Orders[[#This Row],[Customer ID]],customers!$A$2:$A$1001,customers!$I$2:$I$1001,,0)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robosta</v>
      </c>
      <c r="O600" t="str">
        <f t="shared" si="29"/>
        <v>Medium</v>
      </c>
      <c r="P600" t="str">
        <f>_xlfn.XLOOKUP(Orders[[#This Row],[Customer ID]],customers!$A$2:$A$1001,customers!$I$2:$I$1001,,0)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v>
      </c>
      <c r="O601" t="str">
        <f t="shared" si="29"/>
        <v>Dark</v>
      </c>
      <c r="P601" t="str">
        <f>_xlfn.XLOOKUP(Orders[[#This Row],[Customer ID]],customers!$A$2:$A$1001,customers!$I$2:$I$1001,,0)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_xlfn.XLOOKUP(Orders[[#This Row],[Customer ID]],customers!$A$2:$A$1001,customers!$I$2:$I$1001,,0)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robosta</v>
      </c>
      <c r="O603" t="str">
        <f t="shared" si="29"/>
        <v>Light</v>
      </c>
      <c r="P603" t="str">
        <f>_xlfn.XLOOKUP(Orders[[#This Row],[Customer ID]],customers!$A$2:$A$1001,customers!$I$2:$I$1001,,0)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ID]],customers!$A$2:$A$1001,customers!$I$2:$I$1001,,0)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robosta</v>
      </c>
      <c r="O605" t="str">
        <f t="shared" si="29"/>
        <v>Medium</v>
      </c>
      <c r="P605" t="str">
        <f>_xlfn.XLOOKUP(Orders[[#This Row],[Customer ID]],customers!$A$2:$A$1001,customers!$I$2:$I$1001,,0)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ID]],customers!$A$2:$A$1001,customers!$I$2:$I$1001,,0)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v>
      </c>
      <c r="O607" t="str">
        <f t="shared" si="29"/>
        <v>Light</v>
      </c>
      <c r="P607" t="str">
        <f>_xlfn.XLOOKUP(Orders[[#This Row],[Customer ID]],customers!$A$2:$A$1001,customers!$I$2:$I$1001,,0)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ID]],customers!$A$2:$A$1001,customers!$I$2:$I$1001,,0)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_xlfn.XLOOKUP(Orders[[#This Row],[Customer ID]],customers!$A$2:$A$1001,customers!$I$2:$I$1001,,0)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_xlfn.XLOOKUP(Orders[[#This Row],[Customer ID]],customers!$A$2:$A$1001,customers!$I$2:$I$1001,,0)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_xlfn.XLOOKUP(Orders[[#This Row],[Customer ID]],customers!$A$2:$A$1001,customers!$I$2:$I$1001,,0)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robosta</v>
      </c>
      <c r="O612" t="str">
        <f t="shared" si="29"/>
        <v>Medium</v>
      </c>
      <c r="P612" t="str">
        <f>_xlfn.XLOOKUP(Orders[[#This Row],[Customer ID]],customers!$A$2:$A$1001,customers!$I$2:$I$1001,,0)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ID]],customers!$A$2:$A$1001,customers!$I$2:$I$1001,,0)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v>
      </c>
      <c r="O614" t="str">
        <f t="shared" si="29"/>
        <v>Medium</v>
      </c>
      <c r="P614" t="str">
        <f>_xlfn.XLOOKUP(Orders[[#This Row],[Customer ID]],customers!$A$2:$A$1001,customers!$I$2:$I$1001,,0)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robosta</v>
      </c>
      <c r="O615" t="str">
        <f t="shared" si="29"/>
        <v>Medium</v>
      </c>
      <c r="P615" t="str">
        <f>_xlfn.XLOOKUP(Orders[[#This Row],[Customer ID]],customers!$A$2:$A$1001,customers!$I$2:$I$1001,,0)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robosta</v>
      </c>
      <c r="O616" t="str">
        <f t="shared" si="29"/>
        <v>Medium</v>
      </c>
      <c r="P616" t="str">
        <f>_xlfn.XLOOKUP(Orders[[#This Row],[Customer ID]],customers!$A$2:$A$1001,customers!$I$2:$I$1001,,0)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_xlfn.XLOOKUP(Orders[[#This Row],[Customer ID]],customers!$A$2:$A$1001,customers!$I$2:$I$1001,,0)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ID]],customers!$A$2:$A$1001,customers!$I$2:$I$1001,,0)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ID]],customers!$A$2:$A$1001,customers!$I$2:$I$1001,,0)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_xlfn.XLOOKUP(Orders[[#This Row],[Customer ID]],customers!$A$2:$A$1001,customers!$I$2:$I$1001,,0)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_xlfn.XLOOKUP(Orders[[#This Row],[Customer ID]],customers!$A$2:$A$1001,customers!$I$2:$I$1001,,0)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v>
      </c>
      <c r="O622" t="str">
        <f t="shared" si="29"/>
        <v>Medium</v>
      </c>
      <c r="P622" t="str">
        <f>_xlfn.XLOOKUP(Orders[[#This Row],[Customer ID]],customers!$A$2:$A$1001,customers!$I$2:$I$1001,,0)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v>
      </c>
      <c r="O623" t="str">
        <f t="shared" si="29"/>
        <v>Light</v>
      </c>
      <c r="P623" t="str">
        <f>_xlfn.XLOOKUP(Orders[[#This Row],[Customer ID]],customers!$A$2:$A$1001,customers!$I$2:$I$1001,,0)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ID]],customers!$A$2:$A$1001,customers!$I$2:$I$1001,,0)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_xlfn.XLOOKUP(Orders[[#This Row],[Customer ID]],customers!$A$2:$A$1001,customers!$I$2:$I$1001,,0)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ID]],customers!$A$2:$A$1001,customers!$I$2:$I$1001,,0)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robosta</v>
      </c>
      <c r="O627" t="str">
        <f t="shared" si="29"/>
        <v>Light</v>
      </c>
      <c r="P627" t="str">
        <f>_xlfn.XLOOKUP(Orders[[#This Row],[Customer ID]],customers!$A$2:$A$1001,customers!$I$2:$I$1001,,0)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v>
      </c>
      <c r="O628" t="str">
        <f t="shared" si="29"/>
        <v>Medium</v>
      </c>
      <c r="P628" t="str">
        <f>_xlfn.XLOOKUP(Orders[[#This Row],[Customer ID]],customers!$A$2:$A$1001,customers!$I$2:$I$1001,,0)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ID]],customers!$A$2:$A$1001,customers!$I$2:$I$1001,,0)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_xlfn.XLOOKUP(Orders[[#This Row],[Customer ID]],customers!$A$2:$A$1001,customers!$I$2:$I$1001,,0)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_xlfn.XLOOKUP(Orders[[#This Row],[Customer ID]],customers!$A$2:$A$1001,customers!$I$2:$I$1001,,0)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v>
      </c>
      <c r="O632" t="str">
        <f t="shared" si="29"/>
        <v>Dark</v>
      </c>
      <c r="P632" t="str">
        <f>_xlfn.XLOOKUP(Orders[[#This Row],[Customer ID]],customers!$A$2:$A$1001,customers!$I$2:$I$1001,,0)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robosta</v>
      </c>
      <c r="O633" t="str">
        <f t="shared" si="29"/>
        <v>Dark</v>
      </c>
      <c r="P633" t="str">
        <f>_xlfn.XLOOKUP(Orders[[#This Row],[Customer ID]],customers!$A$2:$A$1001,customers!$I$2:$I$1001,,0)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_xlfn.XLOOKUP(Orders[[#This Row],[Customer ID]],customers!$A$2:$A$1001,customers!$I$2:$I$1001,,0)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robosta</v>
      </c>
      <c r="O635" t="str">
        <f t="shared" si="29"/>
        <v>Light</v>
      </c>
      <c r="P635" t="str">
        <f>_xlfn.XLOOKUP(Orders[[#This Row],[Customer ID]],customers!$A$2:$A$1001,customers!$I$2:$I$1001,,0)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_xlfn.XLOOKUP(Orders[[#This Row],[Customer ID]],customers!$A$2:$A$1001,customers!$I$2:$I$1001,,0)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_xlfn.XLOOKUP(Orders[[#This Row],[Customer ID]],customers!$A$2:$A$1001,customers!$I$2:$I$1001,,0)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_xlfn.XLOOKUP(Orders[[#This Row],[Customer ID]],customers!$A$2:$A$1001,customers!$I$2:$I$1001,,0)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ID]],customers!$A$2:$A$1001,customers!$I$2:$I$1001,,0)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v>
      </c>
      <c r="O640" t="str">
        <f t="shared" si="29"/>
        <v>Medium</v>
      </c>
      <c r="P640" t="str">
        <f>_xlfn.XLOOKUP(Orders[[#This Row],[Customer ID]],customers!$A$2:$A$1001,customers!$I$2:$I$1001,,0)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ID]],customers!$A$2:$A$1001,customers!$I$2:$I$1001,,0)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robosta</v>
      </c>
      <c r="O642" t="str">
        <f t="shared" si="29"/>
        <v>Light</v>
      </c>
      <c r="P642" t="str">
        <f>_xlfn.XLOOKUP(Orders[[#This Row],[Customer ID]],customers!$A$2:$A$1001,customers!$I$2:$I$1001,,0)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IF(I643="Rob","robosta",IF(I643="Exc","Excelsa",IF(I643="Ara","Arabic",IF(I643="Lib","Liberica"))))</f>
        <v>robosta</v>
      </c>
      <c r="O643" t="str">
        <f t="shared" ref="O643:O706" si="32">IF(J643="m","Medium",IF(J643="L","Light",IF(J643="D","Dark","")))</f>
        <v>Light</v>
      </c>
      <c r="P643" t="str">
        <f>_xlfn.XLOOKUP(Orders[[#This Row],[Customer ID]],customers!$A$2:$A$1001,customers!$I$2:$I$1001,,0)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_xlfn.XLOOKUP(Orders[[#This Row],[Customer ID]],customers!$A$2:$A$1001,customers!$I$2:$I$1001,,0)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ID]],customers!$A$2:$A$1001,customers!$I$2:$I$1001,,0)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robosta</v>
      </c>
      <c r="O646" t="str">
        <f t="shared" si="32"/>
        <v>Dark</v>
      </c>
      <c r="P646" t="str">
        <f>_xlfn.XLOOKUP(Orders[[#This Row],[Customer ID]],customers!$A$2:$A$1001,customers!$I$2:$I$1001,,0)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v>
      </c>
      <c r="O647" t="str">
        <f t="shared" si="32"/>
        <v>Dark</v>
      </c>
      <c r="P647" t="str">
        <f>_xlfn.XLOOKUP(Orders[[#This Row],[Customer ID]],customers!$A$2:$A$1001,customers!$I$2:$I$1001,,0)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v>
      </c>
      <c r="O648" t="str">
        <f t="shared" si="32"/>
        <v>Dark</v>
      </c>
      <c r="P648" t="str">
        <f>_xlfn.XLOOKUP(Orders[[#This Row],[Customer ID]],customers!$A$2:$A$1001,customers!$I$2:$I$1001,,0)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_xlfn.XLOOKUP(Orders[[#This Row],[Customer ID]],customers!$A$2:$A$1001,customers!$I$2:$I$1001,,0)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robosta</v>
      </c>
      <c r="O650" t="str">
        <f t="shared" si="32"/>
        <v>Dark</v>
      </c>
      <c r="P650" t="str">
        <f>_xlfn.XLOOKUP(Orders[[#This Row],[Customer ID]],customers!$A$2:$A$1001,customers!$I$2:$I$1001,,0)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_xlfn.XLOOKUP(Orders[[#This Row],[Customer ID]],customers!$A$2:$A$1001,customers!$I$2:$I$1001,,0)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robosta</v>
      </c>
      <c r="O652" t="str">
        <f t="shared" si="32"/>
        <v>Dark</v>
      </c>
      <c r="P652" t="str">
        <f>_xlfn.XLOOKUP(Orders[[#This Row],[Customer ID]],customers!$A$2:$A$1001,customers!$I$2:$I$1001,,0)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robosta</v>
      </c>
      <c r="O653" t="str">
        <f t="shared" si="32"/>
        <v>Light</v>
      </c>
      <c r="P653" t="str">
        <f>_xlfn.XLOOKUP(Orders[[#This Row],[Customer ID]],customers!$A$2:$A$1001,customers!$I$2:$I$1001,,0)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_xlfn.XLOOKUP(Orders[[#This Row],[Customer ID]],customers!$A$2:$A$1001,customers!$I$2:$I$1001,,0)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v>
      </c>
      <c r="O655" t="str">
        <f t="shared" si="32"/>
        <v>Medium</v>
      </c>
      <c r="P655" t="str">
        <f>_xlfn.XLOOKUP(Orders[[#This Row],[Customer ID]],customers!$A$2:$A$1001,customers!$I$2:$I$1001,,0)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v>
      </c>
      <c r="O656" t="str">
        <f t="shared" si="32"/>
        <v>Dark</v>
      </c>
      <c r="P656" t="str">
        <f>_xlfn.XLOOKUP(Orders[[#This Row],[Customer ID]],customers!$A$2:$A$1001,customers!$I$2:$I$1001,,0)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robosta</v>
      </c>
      <c r="O657" t="str">
        <f t="shared" si="32"/>
        <v>Medium</v>
      </c>
      <c r="P657" t="str">
        <f>_xlfn.XLOOKUP(Orders[[#This Row],[Customer ID]],customers!$A$2:$A$1001,customers!$I$2:$I$1001,,0)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_xlfn.XLOOKUP(Orders[[#This Row],[Customer ID]],customers!$A$2:$A$1001,customers!$I$2:$I$1001,,0)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v>
      </c>
      <c r="O659" t="str">
        <f t="shared" si="32"/>
        <v>Medium</v>
      </c>
      <c r="P659" t="str">
        <f>_xlfn.XLOOKUP(Orders[[#This Row],[Customer ID]],customers!$A$2:$A$1001,customers!$I$2:$I$1001,,0)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_xlfn.XLOOKUP(Orders[[#This Row],[Customer ID]],customers!$A$2:$A$1001,customers!$I$2:$I$1001,,0)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v>
      </c>
      <c r="O661" t="str">
        <f t="shared" si="32"/>
        <v>Dark</v>
      </c>
      <c r="P661" t="str">
        <f>_xlfn.XLOOKUP(Orders[[#This Row],[Customer ID]],customers!$A$2:$A$1001,customers!$I$2:$I$1001,,0)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_xlfn.XLOOKUP(Orders[[#This Row],[Customer ID]],customers!$A$2:$A$1001,customers!$I$2:$I$1001,,0)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v>
      </c>
      <c r="O663" t="str">
        <f t="shared" si="32"/>
        <v>Medium</v>
      </c>
      <c r="P663" t="str">
        <f>_xlfn.XLOOKUP(Orders[[#This Row],[Customer ID]],customers!$A$2:$A$1001,customers!$I$2:$I$1001,,0)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ID]],customers!$A$2:$A$1001,customers!$I$2:$I$1001,,0)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v>
      </c>
      <c r="O665" t="str">
        <f t="shared" si="32"/>
        <v>Medium</v>
      </c>
      <c r="P665" t="str">
        <f>_xlfn.XLOOKUP(Orders[[#This Row],[Customer ID]],customers!$A$2:$A$1001,customers!$I$2:$I$1001,,0)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_xlfn.XLOOKUP(Orders[[#This Row],[Customer ID]],customers!$A$2:$A$1001,customers!$I$2:$I$1001,,0)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_xlfn.XLOOKUP(Orders[[#This Row],[Customer ID]],customers!$A$2:$A$1001,customers!$I$2:$I$1001,,0)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v>
      </c>
      <c r="O668" t="str">
        <f t="shared" si="32"/>
        <v>Dark</v>
      </c>
      <c r="P668" t="str">
        <f>_xlfn.XLOOKUP(Orders[[#This Row],[Customer ID]],customers!$A$2:$A$1001,customers!$I$2:$I$1001,,0)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v>
      </c>
      <c r="O669" t="str">
        <f t="shared" si="32"/>
        <v>Dark</v>
      </c>
      <c r="P669" t="str">
        <f>_xlfn.XLOOKUP(Orders[[#This Row],[Customer ID]],customers!$A$2:$A$1001,customers!$I$2:$I$1001,,0)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robosta</v>
      </c>
      <c r="O670" t="str">
        <f t="shared" si="32"/>
        <v>Light</v>
      </c>
      <c r="P670" t="str">
        <f>_xlfn.XLOOKUP(Orders[[#This Row],[Customer ID]],customers!$A$2:$A$1001,customers!$I$2:$I$1001,,0)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ID]],customers!$A$2:$A$1001,customers!$I$2:$I$1001,,0)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ID]],customers!$A$2:$A$1001,customers!$I$2:$I$1001,,0)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robosta</v>
      </c>
      <c r="O673" t="str">
        <f t="shared" si="32"/>
        <v>Light</v>
      </c>
      <c r="P673" t="str">
        <f>_xlfn.XLOOKUP(Orders[[#This Row],[Customer ID]],customers!$A$2:$A$1001,customers!$I$2:$I$1001,,0)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_xlfn.XLOOKUP(Orders[[#This Row],[Customer ID]],customers!$A$2:$A$1001,customers!$I$2:$I$1001,,0)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_xlfn.XLOOKUP(Orders[[#This Row],[Customer ID]],customers!$A$2:$A$1001,customers!$I$2:$I$1001,,0)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v>
      </c>
      <c r="O676" t="str">
        <f t="shared" si="32"/>
        <v>Light</v>
      </c>
      <c r="P676" t="str">
        <f>_xlfn.XLOOKUP(Orders[[#This Row],[Customer ID]],customers!$A$2:$A$1001,customers!$I$2:$I$1001,,0)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ID]],customers!$A$2:$A$1001,customers!$I$2:$I$1001,,0)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_xlfn.XLOOKUP(Orders[[#This Row],[Customer ID]],customers!$A$2:$A$1001,customers!$I$2:$I$1001,,0)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_xlfn.XLOOKUP(Orders[[#This Row],[Customer ID]],customers!$A$2:$A$1001,customers!$I$2:$I$1001,,0)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v>
      </c>
      <c r="O680" t="str">
        <f t="shared" si="32"/>
        <v>Light</v>
      </c>
      <c r="P680" t="str">
        <f>_xlfn.XLOOKUP(Orders[[#This Row],[Customer ID]],customers!$A$2:$A$1001,customers!$I$2:$I$1001,,0)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robosta</v>
      </c>
      <c r="O681" t="str">
        <f t="shared" si="32"/>
        <v>Light</v>
      </c>
      <c r="P681" t="str">
        <f>_xlfn.XLOOKUP(Orders[[#This Row],[Customer ID]],customers!$A$2:$A$1001,customers!$I$2:$I$1001,,0)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v>
      </c>
      <c r="O682" t="str">
        <f t="shared" si="32"/>
        <v>Medium</v>
      </c>
      <c r="P682" t="str">
        <f>_xlfn.XLOOKUP(Orders[[#This Row],[Customer ID]],customers!$A$2:$A$1001,customers!$I$2:$I$1001,,0)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_xlfn.XLOOKUP(Orders[[#This Row],[Customer ID]],customers!$A$2:$A$1001,customers!$I$2:$I$1001,,0)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_xlfn.XLOOKUP(Orders[[#This Row],[Customer ID]],customers!$A$2:$A$1001,customers!$I$2:$I$1001,,0)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_xlfn.XLOOKUP(Orders[[#This Row],[Customer ID]],customers!$A$2:$A$1001,customers!$I$2:$I$1001,,0)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robosta</v>
      </c>
      <c r="O686" t="str">
        <f t="shared" si="32"/>
        <v>Light</v>
      </c>
      <c r="P686" t="str">
        <f>_xlfn.XLOOKUP(Orders[[#This Row],[Customer ID]],customers!$A$2:$A$1001,customers!$I$2:$I$1001,,0)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_xlfn.XLOOKUP(Orders[[#This Row],[Customer ID]],customers!$A$2:$A$1001,customers!$I$2:$I$1001,,0)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robosta</v>
      </c>
      <c r="O688" t="str">
        <f t="shared" si="32"/>
        <v>Dark</v>
      </c>
      <c r="P688" t="str">
        <f>_xlfn.XLOOKUP(Orders[[#This Row],[Customer ID]],customers!$A$2:$A$1001,customers!$I$2:$I$1001,,0)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_xlfn.XLOOKUP(Orders[[#This Row],[Customer ID]],customers!$A$2:$A$1001,customers!$I$2:$I$1001,,0)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v>
      </c>
      <c r="O690" t="str">
        <f t="shared" si="32"/>
        <v>Light</v>
      </c>
      <c r="P690" t="str">
        <f>_xlfn.XLOOKUP(Orders[[#This Row],[Customer ID]],customers!$A$2:$A$1001,customers!$I$2:$I$1001,,0)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v>
      </c>
      <c r="O691" t="str">
        <f t="shared" si="32"/>
        <v>Medium</v>
      </c>
      <c r="P691" t="str">
        <f>_xlfn.XLOOKUP(Orders[[#This Row],[Customer ID]],customers!$A$2:$A$1001,customers!$I$2:$I$1001,,0)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ID]],customers!$A$2:$A$1001,customers!$I$2:$I$1001,,0)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v>
      </c>
      <c r="O693" t="str">
        <f t="shared" si="32"/>
        <v>Medium</v>
      </c>
      <c r="P693" t="str">
        <f>_xlfn.XLOOKUP(Orders[[#This Row],[Customer ID]],customers!$A$2:$A$1001,customers!$I$2:$I$1001,,0)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_xlfn.XLOOKUP(Orders[[#This Row],[Customer ID]],customers!$A$2:$A$1001,customers!$I$2:$I$1001,,0)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v>
      </c>
      <c r="O695" t="str">
        <f t="shared" si="32"/>
        <v>Medium</v>
      </c>
      <c r="P695" t="str">
        <f>_xlfn.XLOOKUP(Orders[[#This Row],[Customer ID]],customers!$A$2:$A$1001,customers!$I$2:$I$1001,,0)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_xlfn.XLOOKUP(Orders[[#This Row],[Customer ID]],customers!$A$2:$A$1001,customers!$I$2:$I$1001,,0)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ID]],customers!$A$2:$A$1001,customers!$I$2:$I$1001,,0)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_xlfn.XLOOKUP(Orders[[#This Row],[Customer ID]],customers!$A$2:$A$1001,customers!$I$2:$I$1001,,0)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v>
      </c>
      <c r="O699" t="str">
        <f t="shared" si="32"/>
        <v>Medium</v>
      </c>
      <c r="P699" t="str">
        <f>_xlfn.XLOOKUP(Orders[[#This Row],[Customer ID]],customers!$A$2:$A$1001,customers!$I$2:$I$1001,,0)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_xlfn.XLOOKUP(Orders[[#This Row],[Customer ID]],customers!$A$2:$A$1001,customers!$I$2:$I$1001,,0)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v>
      </c>
      <c r="O701" t="str">
        <f t="shared" si="32"/>
        <v>Dark</v>
      </c>
      <c r="P701" t="str">
        <f>_xlfn.XLOOKUP(Orders[[#This Row],[Customer ID]],customers!$A$2:$A$1001,customers!$I$2:$I$1001,,0)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_xlfn.XLOOKUP(Orders[[#This Row],[Customer ID]],customers!$A$2:$A$1001,customers!$I$2:$I$1001,,0)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v>
      </c>
      <c r="O703" t="str">
        <f t="shared" si="32"/>
        <v>Dark</v>
      </c>
      <c r="P703" t="str">
        <f>_xlfn.XLOOKUP(Orders[[#This Row],[Customer ID]],customers!$A$2:$A$1001,customers!$I$2:$I$1001,,0)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v>
      </c>
      <c r="O704" t="str">
        <f t="shared" si="32"/>
        <v>Light</v>
      </c>
      <c r="P704" t="str">
        <f>_xlfn.XLOOKUP(Orders[[#This Row],[Customer ID]],customers!$A$2:$A$1001,customers!$I$2:$I$1001,,0)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ID]],customers!$A$2:$A$1001,customers!$I$2:$I$1001,,0)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_xlfn.XLOOKUP(Orders[[#This Row],[Customer ID]],customers!$A$2:$A$1001,customers!$I$2:$I$1001,,0)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IF(I707="Rob","robosta",IF(I707="Exc","Excelsa",IF(I707="Ara","Arabic",IF(I707="Lib","Liberica"))))</f>
        <v>Excelsa</v>
      </c>
      <c r="O707" t="str">
        <f t="shared" ref="O707:O770" si="35">IF(J707="m","Medium",IF(J707="L","Light",IF(J707="D","Dark","")))</f>
        <v>Light</v>
      </c>
      <c r="P707" t="str">
        <f>_xlfn.XLOOKUP(Orders[[#This Row],[Customer ID]],customers!$A$2:$A$1001,customers!$I$2:$I$1001,,0)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_xlfn.XLOOKUP(Orders[[#This Row],[Customer ID]],customers!$A$2:$A$1001,customers!$I$2:$I$1001,,0)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_xlfn.XLOOKUP(Orders[[#This Row],[Customer ID]],customers!$A$2:$A$1001,customers!$I$2:$I$1001,,0)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v>
      </c>
      <c r="O710" t="str">
        <f t="shared" si="35"/>
        <v>Medium</v>
      </c>
      <c r="P710" t="str">
        <f>_xlfn.XLOOKUP(Orders[[#This Row],[Customer ID]],customers!$A$2:$A$1001,customers!$I$2:$I$1001,,0)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_xlfn.XLOOKUP(Orders[[#This Row],[Customer ID]],customers!$A$2:$A$1001,customers!$I$2:$I$1001,,0)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_xlfn.XLOOKUP(Orders[[#This Row],[Customer ID]],customers!$A$2:$A$1001,customers!$I$2:$I$1001,,0)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robosta</v>
      </c>
      <c r="O713" t="str">
        <f t="shared" si="35"/>
        <v>Medium</v>
      </c>
      <c r="P713" t="str">
        <f>_xlfn.XLOOKUP(Orders[[#This Row],[Customer ID]],customers!$A$2:$A$1001,customers!$I$2:$I$1001,,0)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_xlfn.XLOOKUP(Orders[[#This Row],[Customer ID]],customers!$A$2:$A$1001,customers!$I$2:$I$1001,,0)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robosta</v>
      </c>
      <c r="O715" t="str">
        <f t="shared" si="35"/>
        <v>Medium</v>
      </c>
      <c r="P715" t="str">
        <f>_xlfn.XLOOKUP(Orders[[#This Row],[Customer ID]],customers!$A$2:$A$1001,customers!$I$2:$I$1001,,0)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_xlfn.XLOOKUP(Orders[[#This Row],[Customer ID]],customers!$A$2:$A$1001,customers!$I$2:$I$1001,,0)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_xlfn.XLOOKUP(Orders[[#This Row],[Customer ID]],customers!$A$2:$A$1001,customers!$I$2:$I$1001,,0)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robosta</v>
      </c>
      <c r="O718" t="str">
        <f t="shared" si="35"/>
        <v>Light</v>
      </c>
      <c r="P718" t="str">
        <f>_xlfn.XLOOKUP(Orders[[#This Row],[Customer ID]],customers!$A$2:$A$1001,customers!$I$2:$I$1001,,0)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v>
      </c>
      <c r="O719" t="str">
        <f t="shared" si="35"/>
        <v>Dark</v>
      </c>
      <c r="P719" t="str">
        <f>_xlfn.XLOOKUP(Orders[[#This Row],[Customer ID]],customers!$A$2:$A$1001,customers!$I$2:$I$1001,,0)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_xlfn.XLOOKUP(Orders[[#This Row],[Customer ID]],customers!$A$2:$A$1001,customers!$I$2:$I$1001,,0)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_xlfn.XLOOKUP(Orders[[#This Row],[Customer ID]],customers!$A$2:$A$1001,customers!$I$2:$I$1001,,0)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_xlfn.XLOOKUP(Orders[[#This Row],[Customer ID]],customers!$A$2:$A$1001,customers!$I$2:$I$1001,,0)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robosta</v>
      </c>
      <c r="O723" t="str">
        <f t="shared" si="35"/>
        <v>Medium</v>
      </c>
      <c r="P723" t="str">
        <f>_xlfn.XLOOKUP(Orders[[#This Row],[Customer ID]],customers!$A$2:$A$1001,customers!$I$2:$I$1001,,0)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_xlfn.XLOOKUP(Orders[[#This Row],[Customer ID]],customers!$A$2:$A$1001,customers!$I$2:$I$1001,,0)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ID]],customers!$A$2:$A$1001,customers!$I$2:$I$1001,,0)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v>
      </c>
      <c r="O726" t="str">
        <f t="shared" si="35"/>
        <v>Medium</v>
      </c>
      <c r="P726" t="str">
        <f>_xlfn.XLOOKUP(Orders[[#This Row],[Customer ID]],customers!$A$2:$A$1001,customers!$I$2:$I$1001,,0)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v>
      </c>
      <c r="O727" t="str">
        <f t="shared" si="35"/>
        <v>Light</v>
      </c>
      <c r="P727" t="str">
        <f>_xlfn.XLOOKUP(Orders[[#This Row],[Customer ID]],customers!$A$2:$A$1001,customers!$I$2:$I$1001,,0)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_xlfn.XLOOKUP(Orders[[#This Row],[Customer ID]],customers!$A$2:$A$1001,customers!$I$2:$I$1001,,0)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robosta</v>
      </c>
      <c r="O729" t="str">
        <f t="shared" si="35"/>
        <v>Medium</v>
      </c>
      <c r="P729" t="str">
        <f>_xlfn.XLOOKUP(Orders[[#This Row],[Customer ID]],customers!$A$2:$A$1001,customers!$I$2:$I$1001,,0)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_xlfn.XLOOKUP(Orders[[#This Row],[Customer ID]],customers!$A$2:$A$1001,customers!$I$2:$I$1001,,0)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ID]],customers!$A$2:$A$1001,customers!$I$2:$I$1001,,0)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ID]],customers!$A$2:$A$1001,customers!$I$2:$I$1001,,0)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_xlfn.XLOOKUP(Orders[[#This Row],[Customer ID]],customers!$A$2:$A$1001,customers!$I$2:$I$1001,,0)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_xlfn.XLOOKUP(Orders[[#This Row],[Customer ID]],customers!$A$2:$A$1001,customers!$I$2:$I$1001,,0)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ID]],customers!$A$2:$A$1001,customers!$I$2:$I$1001,,0)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robosta</v>
      </c>
      <c r="O736" t="str">
        <f t="shared" si="35"/>
        <v>Dark</v>
      </c>
      <c r="P736" t="str">
        <f>_xlfn.XLOOKUP(Orders[[#This Row],[Customer ID]],customers!$A$2:$A$1001,customers!$I$2:$I$1001,,0)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_xlfn.XLOOKUP(Orders[[#This Row],[Customer ID]],customers!$A$2:$A$1001,customers!$I$2:$I$1001,,0)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_xlfn.XLOOKUP(Orders[[#This Row],[Customer ID]],customers!$A$2:$A$1001,customers!$I$2:$I$1001,,0)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v>
      </c>
      <c r="O739" t="str">
        <f t="shared" si="35"/>
        <v>Medium</v>
      </c>
      <c r="P739" t="str">
        <f>_xlfn.XLOOKUP(Orders[[#This Row],[Customer ID]],customers!$A$2:$A$1001,customers!$I$2:$I$1001,,0)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robosta</v>
      </c>
      <c r="O740" t="str">
        <f t="shared" si="35"/>
        <v>Light</v>
      </c>
      <c r="P740" t="str">
        <f>_xlfn.XLOOKUP(Orders[[#This Row],[Customer ID]],customers!$A$2:$A$1001,customers!$I$2:$I$1001,,0)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_xlfn.XLOOKUP(Orders[[#This Row],[Customer ID]],customers!$A$2:$A$1001,customers!$I$2:$I$1001,,0)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robosta</v>
      </c>
      <c r="O742" t="str">
        <f t="shared" si="35"/>
        <v>Light</v>
      </c>
      <c r="P742" t="str">
        <f>_xlfn.XLOOKUP(Orders[[#This Row],[Customer ID]],customers!$A$2:$A$1001,customers!$I$2:$I$1001,,0)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_xlfn.XLOOKUP(Orders[[#This Row],[Customer ID]],customers!$A$2:$A$1001,customers!$I$2:$I$1001,,0)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_xlfn.XLOOKUP(Orders[[#This Row],[Customer ID]],customers!$A$2:$A$1001,customers!$I$2:$I$1001,,0)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v>
      </c>
      <c r="O745" t="str">
        <f t="shared" si="35"/>
        <v>Dark</v>
      </c>
      <c r="P745" t="str">
        <f>_xlfn.XLOOKUP(Orders[[#This Row],[Customer ID]],customers!$A$2:$A$1001,customers!$I$2:$I$1001,,0)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robosta</v>
      </c>
      <c r="O746" t="str">
        <f t="shared" si="35"/>
        <v>Medium</v>
      </c>
      <c r="P746" t="str">
        <f>_xlfn.XLOOKUP(Orders[[#This Row],[Customer ID]],customers!$A$2:$A$1001,customers!$I$2:$I$1001,,0)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_xlfn.XLOOKUP(Orders[[#This Row],[Customer ID]],customers!$A$2:$A$1001,customers!$I$2:$I$1001,,0)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v>
      </c>
      <c r="O748" t="str">
        <f t="shared" si="35"/>
        <v>Medium</v>
      </c>
      <c r="P748" t="str">
        <f>_xlfn.XLOOKUP(Orders[[#This Row],[Customer ID]],customers!$A$2:$A$1001,customers!$I$2:$I$1001,,0)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_xlfn.XLOOKUP(Orders[[#This Row],[Customer ID]],customers!$A$2:$A$1001,customers!$I$2:$I$1001,,0)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_xlfn.XLOOKUP(Orders[[#This Row],[Customer ID]],customers!$A$2:$A$1001,customers!$I$2:$I$1001,,0)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robosta</v>
      </c>
      <c r="O751" t="str">
        <f t="shared" si="35"/>
        <v>Dark</v>
      </c>
      <c r="P751" t="str">
        <f>_xlfn.XLOOKUP(Orders[[#This Row],[Customer ID]],customers!$A$2:$A$1001,customers!$I$2:$I$1001,,0)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robosta</v>
      </c>
      <c r="O752" t="str">
        <f t="shared" si="35"/>
        <v>Medium</v>
      </c>
      <c r="P752" t="str">
        <f>_xlfn.XLOOKUP(Orders[[#This Row],[Customer ID]],customers!$A$2:$A$1001,customers!$I$2:$I$1001,,0)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_xlfn.XLOOKUP(Orders[[#This Row],[Customer ID]],customers!$A$2:$A$1001,customers!$I$2:$I$1001,,0)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_xlfn.XLOOKUP(Orders[[#This Row],[Customer ID]],customers!$A$2:$A$1001,customers!$I$2:$I$1001,,0)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v>
      </c>
      <c r="O755" t="str">
        <f t="shared" si="35"/>
        <v>Dark</v>
      </c>
      <c r="P755" t="str">
        <f>_xlfn.XLOOKUP(Orders[[#This Row],[Customer ID]],customers!$A$2:$A$1001,customers!$I$2:$I$1001,,0)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v>
      </c>
      <c r="O756" t="str">
        <f t="shared" si="35"/>
        <v>Dark</v>
      </c>
      <c r="P756" t="str">
        <f>_xlfn.XLOOKUP(Orders[[#This Row],[Customer ID]],customers!$A$2:$A$1001,customers!$I$2:$I$1001,,0)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_xlfn.XLOOKUP(Orders[[#This Row],[Customer ID]],customers!$A$2:$A$1001,customers!$I$2:$I$1001,,0)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robosta</v>
      </c>
      <c r="O758" t="str">
        <f t="shared" si="35"/>
        <v>Dark</v>
      </c>
      <c r="P758" t="str">
        <f>_xlfn.XLOOKUP(Orders[[#This Row],[Customer ID]],customers!$A$2:$A$1001,customers!$I$2:$I$1001,,0)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v>
      </c>
      <c r="O759" t="str">
        <f t="shared" si="35"/>
        <v>Dark</v>
      </c>
      <c r="P759" t="str">
        <f>_xlfn.XLOOKUP(Orders[[#This Row],[Customer ID]],customers!$A$2:$A$1001,customers!$I$2:$I$1001,,0)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robosta</v>
      </c>
      <c r="O760" t="str">
        <f t="shared" si="35"/>
        <v>Dark</v>
      </c>
      <c r="P760" t="str">
        <f>_xlfn.XLOOKUP(Orders[[#This Row],[Customer ID]],customers!$A$2:$A$1001,customers!$I$2:$I$1001,,0)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ID]],customers!$A$2:$A$1001,customers!$I$2:$I$1001,,0)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_xlfn.XLOOKUP(Orders[[#This Row],[Customer ID]],customers!$A$2:$A$1001,customers!$I$2:$I$1001,,0)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_xlfn.XLOOKUP(Orders[[#This Row],[Customer ID]],customers!$A$2:$A$1001,customers!$I$2:$I$1001,,0)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_xlfn.XLOOKUP(Orders[[#This Row],[Customer ID]],customers!$A$2:$A$1001,customers!$I$2:$I$1001,,0)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v>
      </c>
      <c r="O765" t="str">
        <f t="shared" si="35"/>
        <v>Light</v>
      </c>
      <c r="P765" t="str">
        <f>_xlfn.XLOOKUP(Orders[[#This Row],[Customer ID]],customers!$A$2:$A$1001,customers!$I$2:$I$1001,,0)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v>
      </c>
      <c r="O766" t="str">
        <f t="shared" si="35"/>
        <v>Light</v>
      </c>
      <c r="P766" t="str">
        <f>_xlfn.XLOOKUP(Orders[[#This Row],[Customer ID]],customers!$A$2:$A$1001,customers!$I$2:$I$1001,,0)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robosta</v>
      </c>
      <c r="O767" t="str">
        <f t="shared" si="35"/>
        <v>Medium</v>
      </c>
      <c r="P767" t="str">
        <f>_xlfn.XLOOKUP(Orders[[#This Row],[Customer ID]],customers!$A$2:$A$1001,customers!$I$2:$I$1001,,0)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v>
      </c>
      <c r="O768" t="str">
        <f t="shared" si="35"/>
        <v>Light</v>
      </c>
      <c r="P768" t="str">
        <f>_xlfn.XLOOKUP(Orders[[#This Row],[Customer ID]],customers!$A$2:$A$1001,customers!$I$2:$I$1001,,0)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v>
      </c>
      <c r="O769" t="str">
        <f t="shared" si="35"/>
        <v>Light</v>
      </c>
      <c r="P769" t="str">
        <f>_xlfn.XLOOKUP(Orders[[#This Row],[Customer ID]],customers!$A$2:$A$1001,customers!$I$2:$I$1001,,0)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robosta</v>
      </c>
      <c r="O770" t="str">
        <f t="shared" si="35"/>
        <v>Light</v>
      </c>
      <c r="P770" t="str">
        <f>_xlfn.XLOOKUP(Orders[[#This Row],[Customer ID]],customers!$A$2:$A$1001,customers!$I$2:$I$1001,,0)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IF(I771="Rob","robosta",IF(I771="Exc","Excelsa",IF(I771="Ara","Arabic",IF(I771="Lib","Liberica"))))</f>
        <v>robosta</v>
      </c>
      <c r="O771" t="str">
        <f t="shared" ref="O771:O834" si="38">IF(J771="m","Medium",IF(J771="L","Light",IF(J771="D","Dark","")))</f>
        <v>Medium</v>
      </c>
      <c r="P771" t="str">
        <f>_xlfn.XLOOKUP(Orders[[#This Row],[Customer ID]],customers!$A$2:$A$1001,customers!$I$2:$I$1001,,0)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v>
      </c>
      <c r="O772" t="str">
        <f t="shared" si="38"/>
        <v>Dark</v>
      </c>
      <c r="P772" t="str">
        <f>_xlfn.XLOOKUP(Orders[[#This Row],[Customer ID]],customers!$A$2:$A$1001,customers!$I$2:$I$1001,,0)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robosta</v>
      </c>
      <c r="O773" t="str">
        <f t="shared" si="38"/>
        <v>Light</v>
      </c>
      <c r="P773" t="str">
        <f>_xlfn.XLOOKUP(Orders[[#This Row],[Customer ID]],customers!$A$2:$A$1001,customers!$I$2:$I$1001,,0)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_xlfn.XLOOKUP(Orders[[#This Row],[Customer ID]],customers!$A$2:$A$1001,customers!$I$2:$I$1001,,0)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_xlfn.XLOOKUP(Orders[[#This Row],[Customer ID]],customers!$A$2:$A$1001,customers!$I$2:$I$1001,,0)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robosta</v>
      </c>
      <c r="O776" t="str">
        <f t="shared" si="38"/>
        <v>Medium</v>
      </c>
      <c r="P776" t="str">
        <f>_xlfn.XLOOKUP(Orders[[#This Row],[Customer ID]],customers!$A$2:$A$1001,customers!$I$2:$I$1001,,0)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_xlfn.XLOOKUP(Orders[[#This Row],[Customer ID]],customers!$A$2:$A$1001,customers!$I$2:$I$1001,,0)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v>
      </c>
      <c r="O778" t="str">
        <f t="shared" si="38"/>
        <v>Medium</v>
      </c>
      <c r="P778" t="str">
        <f>_xlfn.XLOOKUP(Orders[[#This Row],[Customer ID]],customers!$A$2:$A$1001,customers!$I$2:$I$1001,,0)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v>
      </c>
      <c r="O779" t="str">
        <f t="shared" si="38"/>
        <v>Light</v>
      </c>
      <c r="P779" t="str">
        <f>_xlfn.XLOOKUP(Orders[[#This Row],[Customer ID]],customers!$A$2:$A$1001,customers!$I$2:$I$1001,,0)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_xlfn.XLOOKUP(Orders[[#This Row],[Customer ID]],customers!$A$2:$A$1001,customers!$I$2:$I$1001,,0)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_xlfn.XLOOKUP(Orders[[#This Row],[Customer ID]],customers!$A$2:$A$1001,customers!$I$2:$I$1001,,0)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_xlfn.XLOOKUP(Orders[[#This Row],[Customer ID]],customers!$A$2:$A$1001,customers!$I$2:$I$1001,,0)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_xlfn.XLOOKUP(Orders[[#This Row],[Customer ID]],customers!$A$2:$A$1001,customers!$I$2:$I$1001,,0)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_xlfn.XLOOKUP(Orders[[#This Row],[Customer ID]],customers!$A$2:$A$1001,customers!$I$2:$I$1001,,0)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_xlfn.XLOOKUP(Orders[[#This Row],[Customer ID]],customers!$A$2:$A$1001,customers!$I$2:$I$1001,,0)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_xlfn.XLOOKUP(Orders[[#This Row],[Customer ID]],customers!$A$2:$A$1001,customers!$I$2:$I$1001,,0)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v>
      </c>
      <c r="O787" t="str">
        <f t="shared" si="38"/>
        <v>Dark</v>
      </c>
      <c r="P787" t="str">
        <f>_xlfn.XLOOKUP(Orders[[#This Row],[Customer ID]],customers!$A$2:$A$1001,customers!$I$2:$I$1001,,0)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_xlfn.XLOOKUP(Orders[[#This Row],[Customer ID]],customers!$A$2:$A$1001,customers!$I$2:$I$1001,,0)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_xlfn.XLOOKUP(Orders[[#This Row],[Customer ID]],customers!$A$2:$A$1001,customers!$I$2:$I$1001,,0)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robosta</v>
      </c>
      <c r="O790" t="str">
        <f t="shared" si="38"/>
        <v>Medium</v>
      </c>
      <c r="P790" t="str">
        <f>_xlfn.XLOOKUP(Orders[[#This Row],[Customer ID]],customers!$A$2:$A$1001,customers!$I$2:$I$1001,,0)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v>
      </c>
      <c r="O791" t="str">
        <f t="shared" si="38"/>
        <v>Light</v>
      </c>
      <c r="P791" t="str">
        <f>_xlfn.XLOOKUP(Orders[[#This Row],[Customer ID]],customers!$A$2:$A$1001,customers!$I$2:$I$1001,,0)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v>
      </c>
      <c r="O792" t="str">
        <f t="shared" si="38"/>
        <v>Light</v>
      </c>
      <c r="P792" t="str">
        <f>_xlfn.XLOOKUP(Orders[[#This Row],[Customer ID]],customers!$A$2:$A$1001,customers!$I$2:$I$1001,,0)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ID]],customers!$A$2:$A$1001,customers!$I$2:$I$1001,,0)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_xlfn.XLOOKUP(Orders[[#This Row],[Customer ID]],customers!$A$2:$A$1001,customers!$I$2:$I$1001,,0)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robosta</v>
      </c>
      <c r="O795" t="str">
        <f t="shared" si="38"/>
        <v>Light</v>
      </c>
      <c r="P795" t="str">
        <f>_xlfn.XLOOKUP(Orders[[#This Row],[Customer ID]],customers!$A$2:$A$1001,customers!$I$2:$I$1001,,0)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v>
      </c>
      <c r="O796" t="str">
        <f t="shared" si="38"/>
        <v>Light</v>
      </c>
      <c r="P796" t="str">
        <f>_xlfn.XLOOKUP(Orders[[#This Row],[Customer ID]],customers!$A$2:$A$1001,customers!$I$2:$I$1001,,0)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robosta</v>
      </c>
      <c r="O797" t="str">
        <f t="shared" si="38"/>
        <v>Light</v>
      </c>
      <c r="P797" t="str">
        <f>_xlfn.XLOOKUP(Orders[[#This Row],[Customer ID]],customers!$A$2:$A$1001,customers!$I$2:$I$1001,,0)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_xlfn.XLOOKUP(Orders[[#This Row],[Customer ID]],customers!$A$2:$A$1001,customers!$I$2:$I$1001,,0)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v>
      </c>
      <c r="O799" t="str">
        <f t="shared" si="38"/>
        <v>Light</v>
      </c>
      <c r="P799" t="str">
        <f>_xlfn.XLOOKUP(Orders[[#This Row],[Customer ID]],customers!$A$2:$A$1001,customers!$I$2:$I$1001,,0)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robosta</v>
      </c>
      <c r="O800" t="str">
        <f t="shared" si="38"/>
        <v>Dark</v>
      </c>
      <c r="P800" t="str">
        <f>_xlfn.XLOOKUP(Orders[[#This Row],[Customer ID]],customers!$A$2:$A$1001,customers!$I$2:$I$1001,,0)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_xlfn.XLOOKUP(Orders[[#This Row],[Customer ID]],customers!$A$2:$A$1001,customers!$I$2:$I$1001,,0)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robosta</v>
      </c>
      <c r="O802" t="str">
        <f t="shared" si="38"/>
        <v>Dark</v>
      </c>
      <c r="P802" t="str">
        <f>_xlfn.XLOOKUP(Orders[[#This Row],[Customer ID]],customers!$A$2:$A$1001,customers!$I$2:$I$1001,,0)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robosta</v>
      </c>
      <c r="O803" t="str">
        <f t="shared" si="38"/>
        <v>Dark</v>
      </c>
      <c r="P803" t="str">
        <f>_xlfn.XLOOKUP(Orders[[#This Row],[Customer ID]],customers!$A$2:$A$1001,customers!$I$2:$I$1001,,0)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robosta</v>
      </c>
      <c r="O804" t="str">
        <f t="shared" si="38"/>
        <v>Dark</v>
      </c>
      <c r="P804" t="str">
        <f>_xlfn.XLOOKUP(Orders[[#This Row],[Customer ID]],customers!$A$2:$A$1001,customers!$I$2:$I$1001,,0)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ID]],customers!$A$2:$A$1001,customers!$I$2:$I$1001,,0)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robosta</v>
      </c>
      <c r="O806" t="str">
        <f t="shared" si="38"/>
        <v>Light</v>
      </c>
      <c r="P806" t="str">
        <f>_xlfn.XLOOKUP(Orders[[#This Row],[Customer ID]],customers!$A$2:$A$1001,customers!$I$2:$I$1001,,0)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robosta</v>
      </c>
      <c r="O807" t="str">
        <f t="shared" si="38"/>
        <v>Medium</v>
      </c>
      <c r="P807" t="str">
        <f>_xlfn.XLOOKUP(Orders[[#This Row],[Customer ID]],customers!$A$2:$A$1001,customers!$I$2:$I$1001,,0)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_xlfn.XLOOKUP(Orders[[#This Row],[Customer ID]],customers!$A$2:$A$1001,customers!$I$2:$I$1001,,0)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_xlfn.XLOOKUP(Orders[[#This Row],[Customer ID]],customers!$A$2:$A$1001,customers!$I$2:$I$1001,,0)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robosta</v>
      </c>
      <c r="O810" t="str">
        <f t="shared" si="38"/>
        <v>Light</v>
      </c>
      <c r="P810" t="str">
        <f>_xlfn.XLOOKUP(Orders[[#This Row],[Customer ID]],customers!$A$2:$A$1001,customers!$I$2:$I$1001,,0)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robosta</v>
      </c>
      <c r="O811" t="str">
        <f t="shared" si="38"/>
        <v>Dark</v>
      </c>
      <c r="P811" t="str">
        <f>_xlfn.XLOOKUP(Orders[[#This Row],[Customer ID]],customers!$A$2:$A$1001,customers!$I$2:$I$1001,,0)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_xlfn.XLOOKUP(Orders[[#This Row],[Customer ID]],customers!$A$2:$A$1001,customers!$I$2:$I$1001,,0)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v>
      </c>
      <c r="O813" t="str">
        <f t="shared" si="38"/>
        <v>Medium</v>
      </c>
      <c r="P813" t="str">
        <f>_xlfn.XLOOKUP(Orders[[#This Row],[Customer ID]],customers!$A$2:$A$1001,customers!$I$2:$I$1001,,0)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ID]],customers!$A$2:$A$1001,customers!$I$2:$I$1001,,0)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ID]],customers!$A$2:$A$1001,customers!$I$2:$I$1001,,0)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_xlfn.XLOOKUP(Orders[[#This Row],[Customer ID]],customers!$A$2:$A$1001,customers!$I$2:$I$1001,,0)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robosta</v>
      </c>
      <c r="O817" t="str">
        <f t="shared" si="38"/>
        <v>Medium</v>
      </c>
      <c r="P817" t="str">
        <f>_xlfn.XLOOKUP(Orders[[#This Row],[Customer ID]],customers!$A$2:$A$1001,customers!$I$2:$I$1001,,0)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_xlfn.XLOOKUP(Orders[[#This Row],[Customer ID]],customers!$A$2:$A$1001,customers!$I$2:$I$1001,,0)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_xlfn.XLOOKUP(Orders[[#This Row],[Customer ID]],customers!$A$2:$A$1001,customers!$I$2:$I$1001,,0)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_xlfn.XLOOKUP(Orders[[#This Row],[Customer ID]],customers!$A$2:$A$1001,customers!$I$2:$I$1001,,0)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ID]],customers!$A$2:$A$1001,customers!$I$2:$I$1001,,0)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_xlfn.XLOOKUP(Orders[[#This Row],[Customer ID]],customers!$A$2:$A$1001,customers!$I$2:$I$1001,,0)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robosta</v>
      </c>
      <c r="O823" t="str">
        <f t="shared" si="38"/>
        <v>Dark</v>
      </c>
      <c r="P823" t="str">
        <f>_xlfn.XLOOKUP(Orders[[#This Row],[Customer ID]],customers!$A$2:$A$1001,customers!$I$2:$I$1001,,0)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ID]],customers!$A$2:$A$1001,customers!$I$2:$I$1001,,0)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_xlfn.XLOOKUP(Orders[[#This Row],[Customer ID]],customers!$A$2:$A$1001,customers!$I$2:$I$1001,,0)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v>
      </c>
      <c r="O826" t="str">
        <f t="shared" si="38"/>
        <v>Medium</v>
      </c>
      <c r="P826" t="str">
        <f>_xlfn.XLOOKUP(Orders[[#This Row],[Customer ID]],customers!$A$2:$A$1001,customers!$I$2:$I$1001,,0)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v>
      </c>
      <c r="O827" t="str">
        <f t="shared" si="38"/>
        <v>Dark</v>
      </c>
      <c r="P827" t="str">
        <f>_xlfn.XLOOKUP(Orders[[#This Row],[Customer ID]],customers!$A$2:$A$1001,customers!$I$2:$I$1001,,0)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_xlfn.XLOOKUP(Orders[[#This Row],[Customer ID]],customers!$A$2:$A$1001,customers!$I$2:$I$1001,,0)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_xlfn.XLOOKUP(Orders[[#This Row],[Customer ID]],customers!$A$2:$A$1001,customers!$I$2:$I$1001,,0)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v>
      </c>
      <c r="O830" t="str">
        <f t="shared" si="38"/>
        <v>Dark</v>
      </c>
      <c r="P830" t="str">
        <f>_xlfn.XLOOKUP(Orders[[#This Row],[Customer ID]],customers!$A$2:$A$1001,customers!$I$2:$I$1001,,0)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v>
      </c>
      <c r="O831" t="str">
        <f t="shared" si="38"/>
        <v>Dark</v>
      </c>
      <c r="P831" t="str">
        <f>_xlfn.XLOOKUP(Orders[[#This Row],[Customer ID]],customers!$A$2:$A$1001,customers!$I$2:$I$1001,,0)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_xlfn.XLOOKUP(Orders[[#This Row],[Customer ID]],customers!$A$2:$A$1001,customers!$I$2:$I$1001,,0)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v>
      </c>
      <c r="O833" t="str">
        <f t="shared" si="38"/>
        <v>Dark</v>
      </c>
      <c r="P833" t="str">
        <f>_xlfn.XLOOKUP(Orders[[#This Row],[Customer ID]],customers!$A$2:$A$1001,customers!$I$2:$I$1001,,0)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robosta</v>
      </c>
      <c r="O834" t="str">
        <f t="shared" si="38"/>
        <v>Medium</v>
      </c>
      <c r="P834" t="str">
        <f>_xlfn.XLOOKUP(Orders[[#This Row],[Customer ID]],customers!$A$2:$A$1001,customers!$I$2:$I$1001,,0)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IF(I835="Rob","robosta",IF(I835="Exc","Excelsa",IF(I835="Ara","Arabic",IF(I835="Lib","Liberica"))))</f>
        <v>robosta</v>
      </c>
      <c r="O835" t="str">
        <f t="shared" ref="O835:O898" si="41">IF(J835="m","Medium",IF(J835="L","Light",IF(J835="D","Dark","")))</f>
        <v>Dark</v>
      </c>
      <c r="P835" t="str">
        <f>_xlfn.XLOOKUP(Orders[[#This Row],[Customer ID]],customers!$A$2:$A$1001,customers!$I$2:$I$1001,,0)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v>
      </c>
      <c r="O836" t="str">
        <f t="shared" si="41"/>
        <v>Dark</v>
      </c>
      <c r="P836" t="str">
        <f>_xlfn.XLOOKUP(Orders[[#This Row],[Customer ID]],customers!$A$2:$A$1001,customers!$I$2:$I$1001,,0)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_xlfn.XLOOKUP(Orders[[#This Row],[Customer ID]],customers!$A$2:$A$1001,customers!$I$2:$I$1001,,0)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v>
      </c>
      <c r="O838" t="str">
        <f t="shared" si="41"/>
        <v>Dark</v>
      </c>
      <c r="P838" t="str">
        <f>_xlfn.XLOOKUP(Orders[[#This Row],[Customer ID]],customers!$A$2:$A$1001,customers!$I$2:$I$1001,,0)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ID]],customers!$A$2:$A$1001,customers!$I$2:$I$1001,,0)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v>
      </c>
      <c r="O840" t="str">
        <f t="shared" si="41"/>
        <v>Dark</v>
      </c>
      <c r="P840" t="str">
        <f>_xlfn.XLOOKUP(Orders[[#This Row],[Customer ID]],customers!$A$2:$A$1001,customers!$I$2:$I$1001,,0)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_xlfn.XLOOKUP(Orders[[#This Row],[Customer ID]],customers!$A$2:$A$1001,customers!$I$2:$I$1001,,0)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robosta</v>
      </c>
      <c r="O842" t="str">
        <f t="shared" si="41"/>
        <v>Light</v>
      </c>
      <c r="P842" t="str">
        <f>_xlfn.XLOOKUP(Orders[[#This Row],[Customer ID]],customers!$A$2:$A$1001,customers!$I$2:$I$1001,,0)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ID]],customers!$A$2:$A$1001,customers!$I$2:$I$1001,,0)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_xlfn.XLOOKUP(Orders[[#This Row],[Customer ID]],customers!$A$2:$A$1001,customers!$I$2:$I$1001,,0)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_xlfn.XLOOKUP(Orders[[#This Row],[Customer ID]],customers!$A$2:$A$1001,customers!$I$2:$I$1001,,0)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v>
      </c>
      <c r="O846" t="str">
        <f t="shared" si="41"/>
        <v>Dark</v>
      </c>
      <c r="P846" t="str">
        <f>_xlfn.XLOOKUP(Orders[[#This Row],[Customer ID]],customers!$A$2:$A$1001,customers!$I$2:$I$1001,,0)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_xlfn.XLOOKUP(Orders[[#This Row],[Customer ID]],customers!$A$2:$A$1001,customers!$I$2:$I$1001,,0)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v>
      </c>
      <c r="O848" t="str">
        <f t="shared" si="41"/>
        <v>Medium</v>
      </c>
      <c r="P848" t="str">
        <f>_xlfn.XLOOKUP(Orders[[#This Row],[Customer ID]],customers!$A$2:$A$1001,customers!$I$2:$I$1001,,0)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v>
      </c>
      <c r="O849" t="str">
        <f t="shared" si="41"/>
        <v>Dark</v>
      </c>
      <c r="P849" t="str">
        <f>_xlfn.XLOOKUP(Orders[[#This Row],[Customer ID]],customers!$A$2:$A$1001,customers!$I$2:$I$1001,,0)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_xlfn.XLOOKUP(Orders[[#This Row],[Customer ID]],customers!$A$2:$A$1001,customers!$I$2:$I$1001,,0)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v>
      </c>
      <c r="O851" t="str">
        <f t="shared" si="41"/>
        <v>Light</v>
      </c>
      <c r="P851" t="str">
        <f>_xlfn.XLOOKUP(Orders[[#This Row],[Customer ID]],customers!$A$2:$A$1001,customers!$I$2:$I$1001,,0)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v>
      </c>
      <c r="O852" t="str">
        <f t="shared" si="41"/>
        <v>Medium</v>
      </c>
      <c r="P852" t="str">
        <f>_xlfn.XLOOKUP(Orders[[#This Row],[Customer ID]],customers!$A$2:$A$1001,customers!$I$2:$I$1001,,0)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_xlfn.XLOOKUP(Orders[[#This Row],[Customer ID]],customers!$A$2:$A$1001,customers!$I$2:$I$1001,,0)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ID]],customers!$A$2:$A$1001,customers!$I$2:$I$1001,,0)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v>
      </c>
      <c r="O855" t="str">
        <f t="shared" si="41"/>
        <v>Dark</v>
      </c>
      <c r="P855" t="str">
        <f>_xlfn.XLOOKUP(Orders[[#This Row],[Customer ID]],customers!$A$2:$A$1001,customers!$I$2:$I$1001,,0)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robosta</v>
      </c>
      <c r="O856" t="str">
        <f t="shared" si="41"/>
        <v>Light</v>
      </c>
      <c r="P856" t="str">
        <f>_xlfn.XLOOKUP(Orders[[#This Row],[Customer ID]],customers!$A$2:$A$1001,customers!$I$2:$I$1001,,0)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ID]],customers!$A$2:$A$1001,customers!$I$2:$I$1001,,0)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_xlfn.XLOOKUP(Orders[[#This Row],[Customer ID]],customers!$A$2:$A$1001,customers!$I$2:$I$1001,,0)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robosta</v>
      </c>
      <c r="O859" t="str">
        <f t="shared" si="41"/>
        <v>Light</v>
      </c>
      <c r="P859" t="str">
        <f>_xlfn.XLOOKUP(Orders[[#This Row],[Customer ID]],customers!$A$2:$A$1001,customers!$I$2:$I$1001,,0)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_xlfn.XLOOKUP(Orders[[#This Row],[Customer ID]],customers!$A$2:$A$1001,customers!$I$2:$I$1001,,0)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v>
      </c>
      <c r="O861" t="str">
        <f t="shared" si="41"/>
        <v>Light</v>
      </c>
      <c r="P861" t="str">
        <f>_xlfn.XLOOKUP(Orders[[#This Row],[Customer ID]],customers!$A$2:$A$1001,customers!$I$2:$I$1001,,0)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v>
      </c>
      <c r="O862" t="str">
        <f t="shared" si="41"/>
        <v>Medium</v>
      </c>
      <c r="P862" t="str">
        <f>_xlfn.XLOOKUP(Orders[[#This Row],[Customer ID]],customers!$A$2:$A$1001,customers!$I$2:$I$1001,,0)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_xlfn.XLOOKUP(Orders[[#This Row],[Customer ID]],customers!$A$2:$A$1001,customers!$I$2:$I$1001,,0)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robosta</v>
      </c>
      <c r="O864" t="str">
        <f t="shared" si="41"/>
        <v>Medium</v>
      </c>
      <c r="P864" t="str">
        <f>_xlfn.XLOOKUP(Orders[[#This Row],[Customer ID]],customers!$A$2:$A$1001,customers!$I$2:$I$1001,,0)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_xlfn.XLOOKUP(Orders[[#This Row],[Customer ID]],customers!$A$2:$A$1001,customers!$I$2:$I$1001,,0)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robosta</v>
      </c>
      <c r="O866" t="str">
        <f t="shared" si="41"/>
        <v>Light</v>
      </c>
      <c r="P866" t="str">
        <f>_xlfn.XLOOKUP(Orders[[#This Row],[Customer ID]],customers!$A$2:$A$1001,customers!$I$2:$I$1001,,0)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v>
      </c>
      <c r="O867" t="str">
        <f t="shared" si="41"/>
        <v>Medium</v>
      </c>
      <c r="P867" t="str">
        <f>_xlfn.XLOOKUP(Orders[[#This Row],[Customer ID]],customers!$A$2:$A$1001,customers!$I$2:$I$1001,,0)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v>
      </c>
      <c r="O868" t="str">
        <f t="shared" si="41"/>
        <v>Dark</v>
      </c>
      <c r="P868" t="str">
        <f>_xlfn.XLOOKUP(Orders[[#This Row],[Customer ID]],customers!$A$2:$A$1001,customers!$I$2:$I$1001,,0)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v>
      </c>
      <c r="O869" t="str">
        <f t="shared" si="41"/>
        <v>Light</v>
      </c>
      <c r="P869" t="str">
        <f>_xlfn.XLOOKUP(Orders[[#This Row],[Customer ID]],customers!$A$2:$A$1001,customers!$I$2:$I$1001,,0)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_xlfn.XLOOKUP(Orders[[#This Row],[Customer ID]],customers!$A$2:$A$1001,customers!$I$2:$I$1001,,0)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robosta</v>
      </c>
      <c r="O871" t="str">
        <f t="shared" si="41"/>
        <v>Medium</v>
      </c>
      <c r="P871" t="str">
        <f>_xlfn.XLOOKUP(Orders[[#This Row],[Customer ID]],customers!$A$2:$A$1001,customers!$I$2:$I$1001,,0)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_xlfn.XLOOKUP(Orders[[#This Row],[Customer ID]],customers!$A$2:$A$1001,customers!$I$2:$I$1001,,0)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_xlfn.XLOOKUP(Orders[[#This Row],[Customer ID]],customers!$A$2:$A$1001,customers!$I$2:$I$1001,,0)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v>
      </c>
      <c r="O874" t="str">
        <f t="shared" si="41"/>
        <v>Medium</v>
      </c>
      <c r="P874" t="str">
        <f>_xlfn.XLOOKUP(Orders[[#This Row],[Customer ID]],customers!$A$2:$A$1001,customers!$I$2:$I$1001,,0)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robosta</v>
      </c>
      <c r="O875" t="str">
        <f t="shared" si="41"/>
        <v>Medium</v>
      </c>
      <c r="P875" t="str">
        <f>_xlfn.XLOOKUP(Orders[[#This Row],[Customer ID]],customers!$A$2:$A$1001,customers!$I$2:$I$1001,,0)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v>
      </c>
      <c r="O876" t="str">
        <f t="shared" si="41"/>
        <v>Light</v>
      </c>
      <c r="P876" t="str">
        <f>_xlfn.XLOOKUP(Orders[[#This Row],[Customer ID]],customers!$A$2:$A$1001,customers!$I$2:$I$1001,,0)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_xlfn.XLOOKUP(Orders[[#This Row],[Customer ID]],customers!$A$2:$A$1001,customers!$I$2:$I$1001,,0)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v>
      </c>
      <c r="O878" t="str">
        <f t="shared" si="41"/>
        <v>Light</v>
      </c>
      <c r="P878" t="str">
        <f>_xlfn.XLOOKUP(Orders[[#This Row],[Customer ID]],customers!$A$2:$A$1001,customers!$I$2:$I$1001,,0)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_xlfn.XLOOKUP(Orders[[#This Row],[Customer ID]],customers!$A$2:$A$1001,customers!$I$2:$I$1001,,0)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robosta</v>
      </c>
      <c r="O880" t="str">
        <f t="shared" si="41"/>
        <v>Light</v>
      </c>
      <c r="P880" t="str">
        <f>_xlfn.XLOOKUP(Orders[[#This Row],[Customer ID]],customers!$A$2:$A$1001,customers!$I$2:$I$1001,,0)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_xlfn.XLOOKUP(Orders[[#This Row],[Customer ID]],customers!$A$2:$A$1001,customers!$I$2:$I$1001,,0)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robosta</v>
      </c>
      <c r="O882" t="str">
        <f t="shared" si="41"/>
        <v>Light</v>
      </c>
      <c r="P882" t="str">
        <f>_xlfn.XLOOKUP(Orders[[#This Row],[Customer ID]],customers!$A$2:$A$1001,customers!$I$2:$I$1001,,0)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v>
      </c>
      <c r="O883" t="str">
        <f t="shared" si="41"/>
        <v>Light</v>
      </c>
      <c r="P883" t="str">
        <f>_xlfn.XLOOKUP(Orders[[#This Row],[Customer ID]],customers!$A$2:$A$1001,customers!$I$2:$I$1001,,0)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v>
      </c>
      <c r="O884" t="str">
        <f t="shared" si="41"/>
        <v>Dark</v>
      </c>
      <c r="P884" t="str">
        <f>_xlfn.XLOOKUP(Orders[[#This Row],[Customer ID]],customers!$A$2:$A$1001,customers!$I$2:$I$1001,,0)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v>
      </c>
      <c r="O885" t="str">
        <f t="shared" si="41"/>
        <v>Medium</v>
      </c>
      <c r="P885" t="str">
        <f>_xlfn.XLOOKUP(Orders[[#This Row],[Customer ID]],customers!$A$2:$A$1001,customers!$I$2:$I$1001,,0)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robosta</v>
      </c>
      <c r="O886" t="str">
        <f t="shared" si="41"/>
        <v>Dark</v>
      </c>
      <c r="P886" t="str">
        <f>_xlfn.XLOOKUP(Orders[[#This Row],[Customer ID]],customers!$A$2:$A$1001,customers!$I$2:$I$1001,,0)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robosta</v>
      </c>
      <c r="O887" t="str">
        <f t="shared" si="41"/>
        <v>Dark</v>
      </c>
      <c r="P887" t="str">
        <f>_xlfn.XLOOKUP(Orders[[#This Row],[Customer ID]],customers!$A$2:$A$1001,customers!$I$2:$I$1001,,0)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_xlfn.XLOOKUP(Orders[[#This Row],[Customer ID]],customers!$A$2:$A$1001,customers!$I$2:$I$1001,,0)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_xlfn.XLOOKUP(Orders[[#This Row],[Customer ID]],customers!$A$2:$A$1001,customers!$I$2:$I$1001,,0)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v>
      </c>
      <c r="O890" t="str">
        <f t="shared" si="41"/>
        <v>Light</v>
      </c>
      <c r="P890" t="str">
        <f>_xlfn.XLOOKUP(Orders[[#This Row],[Customer ID]],customers!$A$2:$A$1001,customers!$I$2:$I$1001,,0)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robosta</v>
      </c>
      <c r="O891" t="str">
        <f t="shared" si="41"/>
        <v>Dark</v>
      </c>
      <c r="P891" t="str">
        <f>_xlfn.XLOOKUP(Orders[[#This Row],[Customer ID]],customers!$A$2:$A$1001,customers!$I$2:$I$1001,,0)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robosta</v>
      </c>
      <c r="O892" t="str">
        <f t="shared" si="41"/>
        <v>Dark</v>
      </c>
      <c r="P892" t="str">
        <f>_xlfn.XLOOKUP(Orders[[#This Row],[Customer ID]],customers!$A$2:$A$1001,customers!$I$2:$I$1001,,0)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v>
      </c>
      <c r="O893" t="str">
        <f t="shared" si="41"/>
        <v>Dark</v>
      </c>
      <c r="P893" t="str">
        <f>_xlfn.XLOOKUP(Orders[[#This Row],[Customer ID]],customers!$A$2:$A$1001,customers!$I$2:$I$1001,,0)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_xlfn.XLOOKUP(Orders[[#This Row],[Customer ID]],customers!$A$2:$A$1001,customers!$I$2:$I$1001,,0)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_xlfn.XLOOKUP(Orders[[#This Row],[Customer ID]],customers!$A$2:$A$1001,customers!$I$2:$I$1001,,0)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robosta</v>
      </c>
      <c r="O896" t="str">
        <f t="shared" si="41"/>
        <v>Dark</v>
      </c>
      <c r="P896" t="str">
        <f>_xlfn.XLOOKUP(Orders[[#This Row],[Customer ID]],customers!$A$2:$A$1001,customers!$I$2:$I$1001,,0)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ID]],customers!$A$2:$A$1001,customers!$I$2:$I$1001,,0)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robosta</v>
      </c>
      <c r="O898" t="str">
        <f t="shared" si="41"/>
        <v>Dark</v>
      </c>
      <c r="P898" t="str">
        <f>_xlfn.XLOOKUP(Orders[[#This Row],[Customer ID]],customers!$A$2:$A$1001,customers!$I$2:$I$1001,,0)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IF(I899="Rob","robosta",IF(I899="Exc","Excelsa",IF(I899="Ara","Arabic",IF(I899="Lib","Liberica"))))</f>
        <v>Excelsa</v>
      </c>
      <c r="O899" t="str">
        <f t="shared" ref="O899:O962" si="44">IF(J899="m","Medium",IF(J899="L","Light",IF(J899="D","Dark","")))</f>
        <v>Dark</v>
      </c>
      <c r="P899" t="str">
        <f>_xlfn.XLOOKUP(Orders[[#This Row],[Customer ID]],customers!$A$2:$A$1001,customers!$I$2:$I$1001,,0)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robosta</v>
      </c>
      <c r="O900" t="str">
        <f t="shared" si="44"/>
        <v>Light</v>
      </c>
      <c r="P900" t="str">
        <f>_xlfn.XLOOKUP(Orders[[#This Row],[Customer ID]],customers!$A$2:$A$1001,customers!$I$2:$I$1001,,0)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_xlfn.XLOOKUP(Orders[[#This Row],[Customer ID]],customers!$A$2:$A$1001,customers!$I$2:$I$1001,,0)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_xlfn.XLOOKUP(Orders[[#This Row],[Customer ID]],customers!$A$2:$A$1001,customers!$I$2:$I$1001,,0)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robosta</v>
      </c>
      <c r="O903" t="str">
        <f t="shared" si="44"/>
        <v>Light</v>
      </c>
      <c r="P903" t="str">
        <f>_xlfn.XLOOKUP(Orders[[#This Row],[Customer ID]],customers!$A$2:$A$1001,customers!$I$2:$I$1001,,0)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ID]],customers!$A$2:$A$1001,customers!$I$2:$I$1001,,0)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_xlfn.XLOOKUP(Orders[[#This Row],[Customer ID]],customers!$A$2:$A$1001,customers!$I$2:$I$1001,,0)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v>
      </c>
      <c r="O906" t="str">
        <f t="shared" si="44"/>
        <v>Light</v>
      </c>
      <c r="P906" t="str">
        <f>_xlfn.XLOOKUP(Orders[[#This Row],[Customer ID]],customers!$A$2:$A$1001,customers!$I$2:$I$1001,,0)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v>
      </c>
      <c r="O907" t="str">
        <f t="shared" si="44"/>
        <v>Medium</v>
      </c>
      <c r="P907" t="str">
        <f>_xlfn.XLOOKUP(Orders[[#This Row],[Customer ID]],customers!$A$2:$A$1001,customers!$I$2:$I$1001,,0)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v>
      </c>
      <c r="O908" t="str">
        <f t="shared" si="44"/>
        <v>Medium</v>
      </c>
      <c r="P908" t="str">
        <f>_xlfn.XLOOKUP(Orders[[#This Row],[Customer ID]],customers!$A$2:$A$1001,customers!$I$2:$I$1001,,0)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_xlfn.XLOOKUP(Orders[[#This Row],[Customer ID]],customers!$A$2:$A$1001,customers!$I$2:$I$1001,,0)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robosta</v>
      </c>
      <c r="O910" t="str">
        <f t="shared" si="44"/>
        <v>Light</v>
      </c>
      <c r="P910" t="str">
        <f>_xlfn.XLOOKUP(Orders[[#This Row],[Customer ID]],customers!$A$2:$A$1001,customers!$I$2:$I$1001,,0)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robosta</v>
      </c>
      <c r="O911" t="str">
        <f t="shared" si="44"/>
        <v>Light</v>
      </c>
      <c r="P911" t="str">
        <f>_xlfn.XLOOKUP(Orders[[#This Row],[Customer ID]],customers!$A$2:$A$1001,customers!$I$2:$I$1001,,0)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v>
      </c>
      <c r="O912" t="str">
        <f t="shared" si="44"/>
        <v>Dark</v>
      </c>
      <c r="P912" t="str">
        <f>_xlfn.XLOOKUP(Orders[[#This Row],[Customer ID]],customers!$A$2:$A$1001,customers!$I$2:$I$1001,,0)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v>
      </c>
      <c r="O913" t="str">
        <f t="shared" si="44"/>
        <v>Medium</v>
      </c>
      <c r="P913" t="str">
        <f>_xlfn.XLOOKUP(Orders[[#This Row],[Customer ID]],customers!$A$2:$A$1001,customers!$I$2:$I$1001,,0)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robosta</v>
      </c>
      <c r="O914" t="str">
        <f t="shared" si="44"/>
        <v>Medium</v>
      </c>
      <c r="P914" t="str">
        <f>_xlfn.XLOOKUP(Orders[[#This Row],[Customer ID]],customers!$A$2:$A$1001,customers!$I$2:$I$1001,,0)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v>
      </c>
      <c r="O915" t="str">
        <f t="shared" si="44"/>
        <v>Medium</v>
      </c>
      <c r="P915" t="str">
        <f>_xlfn.XLOOKUP(Orders[[#This Row],[Customer ID]],customers!$A$2:$A$1001,customers!$I$2:$I$1001,,0)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v>
      </c>
      <c r="O916" t="str">
        <f t="shared" si="44"/>
        <v>Medium</v>
      </c>
      <c r="P916" t="str">
        <f>_xlfn.XLOOKUP(Orders[[#This Row],[Customer ID]],customers!$A$2:$A$1001,customers!$I$2:$I$1001,,0)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_xlfn.XLOOKUP(Orders[[#This Row],[Customer ID]],customers!$A$2:$A$1001,customers!$I$2:$I$1001,,0)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_xlfn.XLOOKUP(Orders[[#This Row],[Customer ID]],customers!$A$2:$A$1001,customers!$I$2:$I$1001,,0)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v>
      </c>
      <c r="O919" t="str">
        <f t="shared" si="44"/>
        <v>Medium</v>
      </c>
      <c r="P919" t="str">
        <f>_xlfn.XLOOKUP(Orders[[#This Row],[Customer ID]],customers!$A$2:$A$1001,customers!$I$2:$I$1001,,0)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_xlfn.XLOOKUP(Orders[[#This Row],[Customer ID]],customers!$A$2:$A$1001,customers!$I$2:$I$1001,,0)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robosta</v>
      </c>
      <c r="O921" t="str">
        <f t="shared" si="44"/>
        <v>Dark</v>
      </c>
      <c r="P921" t="str">
        <f>_xlfn.XLOOKUP(Orders[[#This Row],[Customer ID]],customers!$A$2:$A$1001,customers!$I$2:$I$1001,,0)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robosta</v>
      </c>
      <c r="O922" t="str">
        <f t="shared" si="44"/>
        <v>Dark</v>
      </c>
      <c r="P922" t="str">
        <f>_xlfn.XLOOKUP(Orders[[#This Row],[Customer ID]],customers!$A$2:$A$1001,customers!$I$2:$I$1001,,0)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_xlfn.XLOOKUP(Orders[[#This Row],[Customer ID]],customers!$A$2:$A$1001,customers!$I$2:$I$1001,,0)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v>
      </c>
      <c r="O924" t="str">
        <f t="shared" si="44"/>
        <v>Medium</v>
      </c>
      <c r="P924" t="str">
        <f>_xlfn.XLOOKUP(Orders[[#This Row],[Customer ID]],customers!$A$2:$A$1001,customers!$I$2:$I$1001,,0)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_xlfn.XLOOKUP(Orders[[#This Row],[Customer ID]],customers!$A$2:$A$1001,customers!$I$2:$I$1001,,0)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v>
      </c>
      <c r="O926" t="str">
        <f t="shared" si="44"/>
        <v>Light</v>
      </c>
      <c r="P926" t="str">
        <f>_xlfn.XLOOKUP(Orders[[#This Row],[Customer ID]],customers!$A$2:$A$1001,customers!$I$2:$I$1001,,0)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v>
      </c>
      <c r="O927" t="str">
        <f t="shared" si="44"/>
        <v>Medium</v>
      </c>
      <c r="P927" t="str">
        <f>_xlfn.XLOOKUP(Orders[[#This Row],[Customer ID]],customers!$A$2:$A$1001,customers!$I$2:$I$1001,,0)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v>
      </c>
      <c r="O928" t="str">
        <f t="shared" si="44"/>
        <v>Medium</v>
      </c>
      <c r="P928" t="str">
        <f>_xlfn.XLOOKUP(Orders[[#This Row],[Customer ID]],customers!$A$2:$A$1001,customers!$I$2:$I$1001,,0)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_xlfn.XLOOKUP(Orders[[#This Row],[Customer ID]],customers!$A$2:$A$1001,customers!$I$2:$I$1001,,0)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ID]],customers!$A$2:$A$1001,customers!$I$2:$I$1001,,0)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_xlfn.XLOOKUP(Orders[[#This Row],[Customer ID]],customers!$A$2:$A$1001,customers!$I$2:$I$1001,,0)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_xlfn.XLOOKUP(Orders[[#This Row],[Customer ID]],customers!$A$2:$A$1001,customers!$I$2:$I$1001,,0)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v>
      </c>
      <c r="O933" t="str">
        <f t="shared" si="44"/>
        <v>Dark</v>
      </c>
      <c r="P933" t="str">
        <f>_xlfn.XLOOKUP(Orders[[#This Row],[Customer ID]],customers!$A$2:$A$1001,customers!$I$2:$I$1001,,0)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_xlfn.XLOOKUP(Orders[[#This Row],[Customer ID]],customers!$A$2:$A$1001,customers!$I$2:$I$1001,,0)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robosta</v>
      </c>
      <c r="O935" t="str">
        <f t="shared" si="44"/>
        <v>Dark</v>
      </c>
      <c r="P935" t="str">
        <f>_xlfn.XLOOKUP(Orders[[#This Row],[Customer ID]],customers!$A$2:$A$1001,customers!$I$2:$I$1001,,0)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robosta</v>
      </c>
      <c r="O936" t="str">
        <f t="shared" si="44"/>
        <v>Medium</v>
      </c>
      <c r="P936" t="str">
        <f>_xlfn.XLOOKUP(Orders[[#This Row],[Customer ID]],customers!$A$2:$A$1001,customers!$I$2:$I$1001,,0)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v>
      </c>
      <c r="O937" t="str">
        <f t="shared" si="44"/>
        <v>Medium</v>
      </c>
      <c r="P937" t="str">
        <f>_xlfn.XLOOKUP(Orders[[#This Row],[Customer ID]],customers!$A$2:$A$1001,customers!$I$2:$I$1001,,0)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_xlfn.XLOOKUP(Orders[[#This Row],[Customer ID]],customers!$A$2:$A$1001,customers!$I$2:$I$1001,,0)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robosta</v>
      </c>
      <c r="O939" t="str">
        <f t="shared" si="44"/>
        <v>Medium</v>
      </c>
      <c r="P939" t="str">
        <f>_xlfn.XLOOKUP(Orders[[#This Row],[Customer ID]],customers!$A$2:$A$1001,customers!$I$2:$I$1001,,0)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_xlfn.XLOOKUP(Orders[[#This Row],[Customer ID]],customers!$A$2:$A$1001,customers!$I$2:$I$1001,,0)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_xlfn.XLOOKUP(Orders[[#This Row],[Customer ID]],customers!$A$2:$A$1001,customers!$I$2:$I$1001,,0)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robosta</v>
      </c>
      <c r="O942" t="str">
        <f t="shared" si="44"/>
        <v>Light</v>
      </c>
      <c r="P942" t="str">
        <f>_xlfn.XLOOKUP(Orders[[#This Row],[Customer ID]],customers!$A$2:$A$1001,customers!$I$2:$I$1001,,0)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v>
      </c>
      <c r="O943" t="str">
        <f t="shared" si="44"/>
        <v>Light</v>
      </c>
      <c r="P943" t="str">
        <f>_xlfn.XLOOKUP(Orders[[#This Row],[Customer ID]],customers!$A$2:$A$1001,customers!$I$2:$I$1001,,0)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robosta</v>
      </c>
      <c r="O944" t="str">
        <f t="shared" si="44"/>
        <v>Light</v>
      </c>
      <c r="P944" t="str">
        <f>_xlfn.XLOOKUP(Orders[[#This Row],[Customer ID]],customers!$A$2:$A$1001,customers!$I$2:$I$1001,,0)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v>
      </c>
      <c r="O945" t="str">
        <f t="shared" si="44"/>
        <v>Light</v>
      </c>
      <c r="P945" t="str">
        <f>_xlfn.XLOOKUP(Orders[[#This Row],[Customer ID]],customers!$A$2:$A$1001,customers!$I$2:$I$1001,,0)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robosta</v>
      </c>
      <c r="O946" t="str">
        <f t="shared" si="44"/>
        <v>Light</v>
      </c>
      <c r="P946" t="str">
        <f>_xlfn.XLOOKUP(Orders[[#This Row],[Customer ID]],customers!$A$2:$A$1001,customers!$I$2:$I$1001,,0)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ID]],customers!$A$2:$A$1001,customers!$I$2:$I$1001,,0)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_xlfn.XLOOKUP(Orders[[#This Row],[Customer ID]],customers!$A$2:$A$1001,customers!$I$2:$I$1001,,0)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v>
      </c>
      <c r="O949" t="str">
        <f t="shared" si="44"/>
        <v>Medium</v>
      </c>
      <c r="P949" t="str">
        <f>_xlfn.XLOOKUP(Orders[[#This Row],[Customer ID]],customers!$A$2:$A$1001,customers!$I$2:$I$1001,,0)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_xlfn.XLOOKUP(Orders[[#This Row],[Customer ID]],customers!$A$2:$A$1001,customers!$I$2:$I$1001,,0)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robosta</v>
      </c>
      <c r="O951" t="str">
        <f t="shared" si="44"/>
        <v>Light</v>
      </c>
      <c r="P951" t="str">
        <f>_xlfn.XLOOKUP(Orders[[#This Row],[Customer ID]],customers!$A$2:$A$1001,customers!$I$2:$I$1001,,0)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robosta</v>
      </c>
      <c r="O952" t="str">
        <f t="shared" si="44"/>
        <v>Light</v>
      </c>
      <c r="P952" t="str">
        <f>_xlfn.XLOOKUP(Orders[[#This Row],[Customer ID]],customers!$A$2:$A$1001,customers!$I$2:$I$1001,,0)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robosta</v>
      </c>
      <c r="O953" t="str">
        <f t="shared" si="44"/>
        <v>Light</v>
      </c>
      <c r="P953" t="str">
        <f>_xlfn.XLOOKUP(Orders[[#This Row],[Customer ID]],customers!$A$2:$A$1001,customers!$I$2:$I$1001,,0)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v>
      </c>
      <c r="O954" t="str">
        <f t="shared" si="44"/>
        <v>Medium</v>
      </c>
      <c r="P954" t="str">
        <f>_xlfn.XLOOKUP(Orders[[#This Row],[Customer ID]],customers!$A$2:$A$1001,customers!$I$2:$I$1001,,0)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v>
      </c>
      <c r="O955" t="str">
        <f t="shared" si="44"/>
        <v>Light</v>
      </c>
      <c r="P955" t="str">
        <f>_xlfn.XLOOKUP(Orders[[#This Row],[Customer ID]],customers!$A$2:$A$1001,customers!$I$2:$I$1001,,0)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_xlfn.XLOOKUP(Orders[[#This Row],[Customer ID]],customers!$A$2:$A$1001,customers!$I$2:$I$1001,,0)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ID]],customers!$A$2:$A$1001,customers!$I$2:$I$1001,,0)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robosta</v>
      </c>
      <c r="O958" t="str">
        <f t="shared" si="44"/>
        <v>Light</v>
      </c>
      <c r="P958" t="str">
        <f>_xlfn.XLOOKUP(Orders[[#This Row],[Customer ID]],customers!$A$2:$A$1001,customers!$I$2:$I$1001,,0)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_xlfn.XLOOKUP(Orders[[#This Row],[Customer ID]],customers!$A$2:$A$1001,customers!$I$2:$I$1001,,0)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v>
      </c>
      <c r="O960" t="str">
        <f t="shared" si="44"/>
        <v>Light</v>
      </c>
      <c r="P960" t="str">
        <f>_xlfn.XLOOKUP(Orders[[#This Row],[Customer ID]],customers!$A$2:$A$1001,customers!$I$2:$I$1001,,0)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ID]],customers!$A$2:$A$1001,customers!$I$2:$I$1001,,0)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_xlfn.XLOOKUP(Orders[[#This Row],[Customer ID]],customers!$A$2:$A$1001,customers!$I$2:$I$1001,,0)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IF(I963="Rob","robosta",IF(I963="Exc","Excelsa",IF(I963="Ara","Arabic",IF(I963="Lib","Liberica"))))</f>
        <v>Arabic</v>
      </c>
      <c r="O963" t="str">
        <f t="shared" ref="O963:O1001" si="47">IF(J963="m","Medium",IF(J963="L","Light",IF(J963="D","Dark","")))</f>
        <v>Dark</v>
      </c>
      <c r="P963" t="str">
        <f>_xlfn.XLOOKUP(Orders[[#This Row],[Customer ID]],customers!$A$2:$A$1001,customers!$I$2:$I$1001,,0)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robosta</v>
      </c>
      <c r="O964" t="str">
        <f t="shared" si="47"/>
        <v>Dark</v>
      </c>
      <c r="P964" t="str">
        <f>_xlfn.XLOOKUP(Orders[[#This Row],[Customer ID]],customers!$A$2:$A$1001,customers!$I$2:$I$1001,,0)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robosta</v>
      </c>
      <c r="O965" t="str">
        <f t="shared" si="47"/>
        <v>Medium</v>
      </c>
      <c r="P965" t="str">
        <f>_xlfn.XLOOKUP(Orders[[#This Row],[Customer ID]],customers!$A$2:$A$1001,customers!$I$2:$I$1001,,0)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ID]],customers!$A$2:$A$1001,customers!$I$2:$I$1001,,0)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robosta</v>
      </c>
      <c r="O967" t="str">
        <f t="shared" si="47"/>
        <v>Medium</v>
      </c>
      <c r="P967" t="str">
        <f>_xlfn.XLOOKUP(Orders[[#This Row],[Customer ID]],customers!$A$2:$A$1001,customers!$I$2:$I$1001,,0)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_xlfn.XLOOKUP(Orders[[#This Row],[Customer ID]],customers!$A$2:$A$1001,customers!$I$2:$I$1001,,0)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robosta</v>
      </c>
      <c r="O969" t="str">
        <f t="shared" si="47"/>
        <v>Dark</v>
      </c>
      <c r="P969" t="str">
        <f>_xlfn.XLOOKUP(Orders[[#This Row],[Customer ID]],customers!$A$2:$A$1001,customers!$I$2:$I$1001,,0)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robosta</v>
      </c>
      <c r="O970" t="str">
        <f t="shared" si="47"/>
        <v>Medium</v>
      </c>
      <c r="P970" t="str">
        <f>_xlfn.XLOOKUP(Orders[[#This Row],[Customer ID]],customers!$A$2:$A$1001,customers!$I$2:$I$1001,,0)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_xlfn.XLOOKUP(Orders[[#This Row],[Customer ID]],customers!$A$2:$A$1001,customers!$I$2:$I$1001,,0)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_xlfn.XLOOKUP(Orders[[#This Row],[Customer ID]],customers!$A$2:$A$1001,customers!$I$2:$I$1001,,0)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v>
      </c>
      <c r="O973" t="str">
        <f t="shared" si="47"/>
        <v>Light</v>
      </c>
      <c r="P973" t="str">
        <f>_xlfn.XLOOKUP(Orders[[#This Row],[Customer ID]],customers!$A$2:$A$1001,customers!$I$2:$I$1001,,0)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v>
      </c>
      <c r="O974" t="str">
        <f t="shared" si="47"/>
        <v>Light</v>
      </c>
      <c r="P974" t="str">
        <f>_xlfn.XLOOKUP(Orders[[#This Row],[Customer ID]],customers!$A$2:$A$1001,customers!$I$2:$I$1001,,0)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_xlfn.XLOOKUP(Orders[[#This Row],[Customer ID]],customers!$A$2:$A$1001,customers!$I$2:$I$1001,,0)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robosta</v>
      </c>
      <c r="O976" t="str">
        <f t="shared" si="47"/>
        <v>Dark</v>
      </c>
      <c r="P976" t="str">
        <f>_xlfn.XLOOKUP(Orders[[#This Row],[Customer ID]],customers!$A$2:$A$1001,customers!$I$2:$I$1001,,0)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v>
      </c>
      <c r="O977" t="str">
        <f t="shared" si="47"/>
        <v>Dark</v>
      </c>
      <c r="P977" t="str">
        <f>_xlfn.XLOOKUP(Orders[[#This Row],[Customer ID]],customers!$A$2:$A$1001,customers!$I$2:$I$1001,,0)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robosta</v>
      </c>
      <c r="O978" t="str">
        <f t="shared" si="47"/>
        <v>Light</v>
      </c>
      <c r="P978" t="str">
        <f>_xlfn.XLOOKUP(Orders[[#This Row],[Customer ID]],customers!$A$2:$A$1001,customers!$I$2:$I$1001,,0)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robosta</v>
      </c>
      <c r="O979" t="str">
        <f t="shared" si="47"/>
        <v>Light</v>
      </c>
      <c r="P979" t="str">
        <f>_xlfn.XLOOKUP(Orders[[#This Row],[Customer ID]],customers!$A$2:$A$1001,customers!$I$2:$I$1001,,0)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v>
      </c>
      <c r="O980" t="str">
        <f t="shared" si="47"/>
        <v>Light</v>
      </c>
      <c r="P980" t="str">
        <f>_xlfn.XLOOKUP(Orders[[#This Row],[Customer ID]],customers!$A$2:$A$1001,customers!$I$2:$I$1001,,0)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robosta</v>
      </c>
      <c r="O981" t="str">
        <f t="shared" si="47"/>
        <v>Dark</v>
      </c>
      <c r="P981" t="str">
        <f>_xlfn.XLOOKUP(Orders[[#This Row],[Customer ID]],customers!$A$2:$A$1001,customers!$I$2:$I$1001,,0)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_xlfn.XLOOKUP(Orders[[#This Row],[Customer ID]],customers!$A$2:$A$1001,customers!$I$2:$I$1001,,0)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_xlfn.XLOOKUP(Orders[[#This Row],[Customer ID]],customers!$A$2:$A$1001,customers!$I$2:$I$1001,,0)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robosta</v>
      </c>
      <c r="O984" t="str">
        <f t="shared" si="47"/>
        <v>Light</v>
      </c>
      <c r="P984" t="str">
        <f>_xlfn.XLOOKUP(Orders[[#This Row],[Customer ID]],customers!$A$2:$A$1001,customers!$I$2:$I$1001,,0)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v>
      </c>
      <c r="O985" t="str">
        <f t="shared" si="47"/>
        <v>Medium</v>
      </c>
      <c r="P985" t="str">
        <f>_xlfn.XLOOKUP(Orders[[#This Row],[Customer ID]],customers!$A$2:$A$1001,customers!$I$2:$I$1001,,0)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ID]],customers!$A$2:$A$1001,customers!$I$2:$I$1001,,0)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robosta</v>
      </c>
      <c r="O987" t="str">
        <f t="shared" si="47"/>
        <v>Light</v>
      </c>
      <c r="P987" t="str">
        <f>_xlfn.XLOOKUP(Orders[[#This Row],[Customer ID]],customers!$A$2:$A$1001,customers!$I$2:$I$1001,,0)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ID]],customers!$A$2:$A$1001,customers!$I$2:$I$1001,,0)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v>
      </c>
      <c r="O989" t="str">
        <f t="shared" si="47"/>
        <v>Dark</v>
      </c>
      <c r="P989" t="str">
        <f>_xlfn.XLOOKUP(Orders[[#This Row],[Customer ID]],customers!$A$2:$A$1001,customers!$I$2:$I$1001,,0)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robosta</v>
      </c>
      <c r="O990" t="str">
        <f t="shared" si="47"/>
        <v>Medium</v>
      </c>
      <c r="P990" t="str">
        <f>_xlfn.XLOOKUP(Orders[[#This Row],[Customer ID]],customers!$A$2:$A$1001,customers!$I$2:$I$1001,,0)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v>
      </c>
      <c r="O991" t="str">
        <f t="shared" si="47"/>
        <v>Medium</v>
      </c>
      <c r="P991" t="str">
        <f>_xlfn.XLOOKUP(Orders[[#This Row],[Customer ID]],customers!$A$2:$A$1001,customers!$I$2:$I$1001,,0)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_xlfn.XLOOKUP(Orders[[#This Row],[Customer ID]],customers!$A$2:$A$1001,customers!$I$2:$I$1001,,0)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_xlfn.XLOOKUP(Orders[[#This Row],[Customer ID]],customers!$A$2:$A$1001,customers!$I$2:$I$1001,,0)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ID]],customers!$A$2:$A$1001,customers!$I$2:$I$1001,,0)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v>
      </c>
      <c r="O995" t="str">
        <f t="shared" si="47"/>
        <v>Light</v>
      </c>
      <c r="P995" t="str">
        <f>_xlfn.XLOOKUP(Orders[[#This Row],[Customer ID]],customers!$A$2:$A$1001,customers!$I$2:$I$1001,,0)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v>
      </c>
      <c r="O996" t="str">
        <f t="shared" si="47"/>
        <v>Dark</v>
      </c>
      <c r="P996" t="str">
        <f>_xlfn.XLOOKUP(Orders[[#This Row],[Customer ID]],customers!$A$2:$A$1001,customers!$I$2:$I$1001,,0)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robosta</v>
      </c>
      <c r="O997" t="str">
        <f t="shared" si="47"/>
        <v>Light</v>
      </c>
      <c r="P997" t="str">
        <f>_xlfn.XLOOKUP(Orders[[#This Row],[Customer ID]],customers!$A$2:$A$1001,customers!$I$2:$I$1001,,0)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robosta</v>
      </c>
      <c r="O998" t="str">
        <f t="shared" si="47"/>
        <v>Medium</v>
      </c>
      <c r="P998" t="str">
        <f>_xlfn.XLOOKUP(Orders[[#This Row],[Customer ID]],customers!$A$2:$A$1001,customers!$I$2:$I$1001,,0)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v>
      </c>
      <c r="O999" t="str">
        <f t="shared" si="47"/>
        <v>Medium</v>
      </c>
      <c r="P999" t="str">
        <f>_xlfn.XLOOKUP(Orders[[#This Row],[Customer ID]],customers!$A$2:$A$1001,customers!$I$2:$I$1001,,0)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v>
      </c>
      <c r="O1000" t="str">
        <f t="shared" si="47"/>
        <v>Dark</v>
      </c>
      <c r="P1000" t="str">
        <f>_xlfn.XLOOKUP(Orders[[#This Row],[Customer ID]],customers!$A$2:$A$1001,customers!$I$2:$I$1001,,0)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_xlfn.XLOOKUP(Orders[[#This Row],[Customer ID]],customers!$A$2:$A$1001,customers!$I$2:$I$1001,,0)</f>
        <v>Yes</v>
      </c>
    </row>
  </sheetData>
  <pageMargins left="0.7" right="0.7" top="0.75" bottom="0.75" header="0.3" footer="0.3"/>
  <headerFooter>
    <oddHeader>&amp;C&amp;"Aptos"&amp;8&amp;K000000 Internal Use&amp;1#_x000D_</oddHeader>
    <oddFooter>&amp;C_x000D_&amp;1#&amp;"Aptos"&amp;10&amp;K000000 For RealPage Internal Use Only</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7A11-48A7-40E4-BCB1-C689D25F506B}">
  <dimension ref="A3:F48"/>
  <sheetViews>
    <sheetView topLeftCell="A2" workbookViewId="0">
      <selection activeCell="G4" sqref="G4"/>
    </sheetView>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7.1796875" bestFit="1" customWidth="1"/>
    <col min="6" max="6" width="7.36328125" bestFit="1" customWidth="1"/>
    <col min="7" max="7" width="11.1796875" bestFit="1" customWidth="1"/>
  </cols>
  <sheetData>
    <row r="3" spans="1:6" x14ac:dyDescent="0.35">
      <c r="A3" s="6" t="s">
        <v>6208</v>
      </c>
      <c r="C3" s="6" t="s">
        <v>6196</v>
      </c>
    </row>
    <row r="4" spans="1:6" x14ac:dyDescent="0.35">
      <c r="A4" s="6" t="s">
        <v>6202</v>
      </c>
      <c r="B4" s="6" t="s">
        <v>6203</v>
      </c>
      <c r="C4" t="s">
        <v>6204</v>
      </c>
      <c r="D4" t="s">
        <v>6205</v>
      </c>
      <c r="E4" t="s">
        <v>6206</v>
      </c>
      <c r="F4" t="s">
        <v>6207</v>
      </c>
    </row>
    <row r="5" spans="1:6" x14ac:dyDescent="0.35">
      <c r="A5" t="s">
        <v>6211</v>
      </c>
      <c r="B5" t="s">
        <v>6212</v>
      </c>
      <c r="C5" s="8">
        <v>186.85499999999999</v>
      </c>
      <c r="D5" s="8">
        <v>305.97000000000003</v>
      </c>
      <c r="E5" s="8">
        <v>213.15999999999997</v>
      </c>
      <c r="F5" s="8">
        <v>123</v>
      </c>
    </row>
    <row r="6" spans="1:6" x14ac:dyDescent="0.35">
      <c r="B6" t="s">
        <v>6213</v>
      </c>
      <c r="C6" s="8">
        <v>251.96499999999997</v>
      </c>
      <c r="D6" s="8">
        <v>129.46</v>
      </c>
      <c r="E6" s="8">
        <v>434.03999999999996</v>
      </c>
      <c r="F6" s="8">
        <v>171.93999999999997</v>
      </c>
    </row>
    <row r="7" spans="1:6" x14ac:dyDescent="0.35">
      <c r="B7" t="s">
        <v>6214</v>
      </c>
      <c r="C7" s="8">
        <v>224.94499999999999</v>
      </c>
      <c r="D7" s="8">
        <v>349.12</v>
      </c>
      <c r="E7" s="8">
        <v>321.04000000000002</v>
      </c>
      <c r="F7" s="8">
        <v>126.035</v>
      </c>
    </row>
    <row r="8" spans="1:6" x14ac:dyDescent="0.35">
      <c r="B8" t="s">
        <v>6209</v>
      </c>
      <c r="C8" s="8">
        <v>307.12</v>
      </c>
      <c r="D8" s="8">
        <v>681.07499999999993</v>
      </c>
      <c r="E8" s="8">
        <v>533.70499999999993</v>
      </c>
      <c r="F8" s="8">
        <v>158.85</v>
      </c>
    </row>
    <row r="9" spans="1:6" x14ac:dyDescent="0.35">
      <c r="B9" t="s">
        <v>6210</v>
      </c>
      <c r="C9" s="8">
        <v>53.664999999999992</v>
      </c>
      <c r="D9" s="8">
        <v>83.025000000000006</v>
      </c>
      <c r="E9" s="8">
        <v>193.83499999999998</v>
      </c>
      <c r="F9" s="8">
        <v>68.039999999999992</v>
      </c>
    </row>
    <row r="10" spans="1:6" x14ac:dyDescent="0.35">
      <c r="B10" t="s">
        <v>6198</v>
      </c>
      <c r="C10" s="8">
        <v>163.01999999999998</v>
      </c>
      <c r="D10" s="8">
        <v>678.3599999999999</v>
      </c>
      <c r="E10" s="8">
        <v>171.04500000000002</v>
      </c>
      <c r="F10" s="8">
        <v>372.255</v>
      </c>
    </row>
    <row r="11" spans="1:6" x14ac:dyDescent="0.35">
      <c r="B11" t="s">
        <v>6199</v>
      </c>
      <c r="C11" s="8">
        <v>345.02</v>
      </c>
      <c r="D11" s="8">
        <v>273.86999999999995</v>
      </c>
      <c r="E11" s="8">
        <v>184.12999999999997</v>
      </c>
      <c r="F11" s="8">
        <v>201.11499999999998</v>
      </c>
    </row>
    <row r="12" spans="1:6" x14ac:dyDescent="0.35">
      <c r="B12" t="s">
        <v>6200</v>
      </c>
      <c r="C12" s="8">
        <v>334.89</v>
      </c>
      <c r="D12" s="8">
        <v>70.95</v>
      </c>
      <c r="E12" s="8">
        <v>134.23000000000002</v>
      </c>
      <c r="F12" s="8">
        <v>166.27499999999998</v>
      </c>
    </row>
    <row r="13" spans="1:6" x14ac:dyDescent="0.35">
      <c r="B13" t="s">
        <v>6201</v>
      </c>
      <c r="C13" s="8">
        <v>178.70999999999998</v>
      </c>
      <c r="D13" s="8">
        <v>166.1</v>
      </c>
      <c r="E13" s="8">
        <v>439.30999999999995</v>
      </c>
      <c r="F13" s="8">
        <v>492.9</v>
      </c>
    </row>
    <row r="14" spans="1:6" x14ac:dyDescent="0.35">
      <c r="B14" t="s">
        <v>6215</v>
      </c>
      <c r="C14" s="8">
        <v>301.98500000000001</v>
      </c>
      <c r="D14" s="8">
        <v>153.76499999999999</v>
      </c>
      <c r="E14" s="8">
        <v>215.55499999999998</v>
      </c>
      <c r="F14" s="8">
        <v>213.66499999999999</v>
      </c>
    </row>
    <row r="15" spans="1:6" x14ac:dyDescent="0.35">
      <c r="B15" t="s">
        <v>6216</v>
      </c>
      <c r="C15" s="8">
        <v>312.83499999999998</v>
      </c>
      <c r="D15" s="8">
        <v>63.249999999999993</v>
      </c>
      <c r="E15" s="8">
        <v>350.89500000000004</v>
      </c>
      <c r="F15" s="8">
        <v>96.405000000000001</v>
      </c>
    </row>
    <row r="16" spans="1:6" x14ac:dyDescent="0.35">
      <c r="B16" t="s">
        <v>6217</v>
      </c>
      <c r="C16" s="8">
        <v>265.62</v>
      </c>
      <c r="D16" s="8">
        <v>526.51499999999987</v>
      </c>
      <c r="E16" s="8">
        <v>187.06</v>
      </c>
      <c r="F16" s="8">
        <v>210.58999999999997</v>
      </c>
    </row>
    <row r="17" spans="1:6" x14ac:dyDescent="0.35">
      <c r="A17" t="s">
        <v>6197</v>
      </c>
      <c r="B17" t="s">
        <v>6212</v>
      </c>
      <c r="C17" s="8">
        <v>47.25</v>
      </c>
      <c r="D17" s="8">
        <v>65.805000000000007</v>
      </c>
      <c r="E17" s="8">
        <v>274.67500000000001</v>
      </c>
      <c r="F17" s="8">
        <v>179.22</v>
      </c>
    </row>
    <row r="18" spans="1:6" x14ac:dyDescent="0.35">
      <c r="B18" t="s">
        <v>6213</v>
      </c>
      <c r="C18" s="8">
        <v>745.44999999999993</v>
      </c>
      <c r="D18" s="8">
        <v>428.88499999999999</v>
      </c>
      <c r="E18" s="8">
        <v>194.17499999999998</v>
      </c>
      <c r="F18" s="8">
        <v>429.82999999999993</v>
      </c>
    </row>
    <row r="19" spans="1:6" x14ac:dyDescent="0.35">
      <c r="B19" t="s">
        <v>6214</v>
      </c>
      <c r="C19" s="8">
        <v>130.47</v>
      </c>
      <c r="D19" s="8">
        <v>271.48500000000001</v>
      </c>
      <c r="E19" s="8">
        <v>281.20499999999998</v>
      </c>
      <c r="F19" s="8">
        <v>231.63000000000002</v>
      </c>
    </row>
    <row r="20" spans="1:6" x14ac:dyDescent="0.35">
      <c r="B20" t="s">
        <v>6209</v>
      </c>
      <c r="C20" s="8">
        <v>27</v>
      </c>
      <c r="D20" s="8">
        <v>347.26</v>
      </c>
      <c r="E20" s="8">
        <v>147.51</v>
      </c>
      <c r="F20" s="8">
        <v>240.04</v>
      </c>
    </row>
    <row r="21" spans="1:6" x14ac:dyDescent="0.35">
      <c r="B21" t="s">
        <v>6210</v>
      </c>
      <c r="C21" s="8">
        <v>255.11499999999995</v>
      </c>
      <c r="D21" s="8">
        <v>541.73</v>
      </c>
      <c r="E21" s="8">
        <v>83.43</v>
      </c>
      <c r="F21" s="8">
        <v>59.079999999999991</v>
      </c>
    </row>
    <row r="22" spans="1:6" x14ac:dyDescent="0.35">
      <c r="B22" t="s">
        <v>6198</v>
      </c>
      <c r="C22" s="8">
        <v>584.78999999999985</v>
      </c>
      <c r="D22" s="8">
        <v>357.42999999999995</v>
      </c>
      <c r="E22" s="8">
        <v>355.34</v>
      </c>
      <c r="F22" s="8">
        <v>140.88</v>
      </c>
    </row>
    <row r="23" spans="1:6" x14ac:dyDescent="0.35">
      <c r="B23" t="s">
        <v>6199</v>
      </c>
      <c r="C23" s="8">
        <v>430.62</v>
      </c>
      <c r="D23" s="8">
        <v>227.42500000000001</v>
      </c>
      <c r="E23" s="8">
        <v>236.315</v>
      </c>
      <c r="F23" s="8">
        <v>414.58499999999992</v>
      </c>
    </row>
    <row r="24" spans="1:6" x14ac:dyDescent="0.35">
      <c r="B24" t="s">
        <v>6200</v>
      </c>
      <c r="C24" s="8">
        <v>22.5</v>
      </c>
      <c r="D24" s="8">
        <v>77.72</v>
      </c>
      <c r="E24" s="8">
        <v>60.5</v>
      </c>
      <c r="F24" s="8">
        <v>139.67999999999998</v>
      </c>
    </row>
    <row r="25" spans="1:6" x14ac:dyDescent="0.35">
      <c r="B25" t="s">
        <v>6201</v>
      </c>
      <c r="C25" s="8">
        <v>126.14999999999999</v>
      </c>
      <c r="D25" s="8">
        <v>195.11</v>
      </c>
      <c r="E25" s="8">
        <v>89.13</v>
      </c>
      <c r="F25" s="8">
        <v>302.65999999999997</v>
      </c>
    </row>
    <row r="26" spans="1:6" x14ac:dyDescent="0.35">
      <c r="B26" t="s">
        <v>6215</v>
      </c>
      <c r="C26" s="8">
        <v>376.03</v>
      </c>
      <c r="D26" s="8">
        <v>523.24</v>
      </c>
      <c r="E26" s="8">
        <v>440.96499999999997</v>
      </c>
      <c r="F26" s="8">
        <v>174.46999999999997</v>
      </c>
    </row>
    <row r="27" spans="1:6" x14ac:dyDescent="0.35">
      <c r="B27" t="s">
        <v>6216</v>
      </c>
      <c r="C27" s="8">
        <v>515.17999999999995</v>
      </c>
      <c r="D27" s="8">
        <v>142.56</v>
      </c>
      <c r="E27" s="8">
        <v>347.03999999999996</v>
      </c>
      <c r="F27" s="8">
        <v>104.08499999999999</v>
      </c>
    </row>
    <row r="28" spans="1:6" x14ac:dyDescent="0.35">
      <c r="B28" t="s">
        <v>6217</v>
      </c>
      <c r="C28" s="8">
        <v>95.859999999999985</v>
      </c>
      <c r="D28" s="8">
        <v>484.76</v>
      </c>
      <c r="E28" s="8">
        <v>94.17</v>
      </c>
      <c r="F28" s="8">
        <v>77.10499999999999</v>
      </c>
    </row>
    <row r="29" spans="1:6" x14ac:dyDescent="0.35">
      <c r="A29" t="s">
        <v>6218</v>
      </c>
      <c r="B29" t="s">
        <v>6212</v>
      </c>
      <c r="C29" s="8">
        <v>258.34500000000003</v>
      </c>
      <c r="D29" s="8">
        <v>139.625</v>
      </c>
      <c r="E29" s="8">
        <v>279.52000000000004</v>
      </c>
      <c r="F29" s="8">
        <v>160.19499999999999</v>
      </c>
    </row>
    <row r="30" spans="1:6" x14ac:dyDescent="0.35">
      <c r="B30" t="s">
        <v>6213</v>
      </c>
      <c r="C30" s="8">
        <v>342.2</v>
      </c>
      <c r="D30" s="8">
        <v>284.24999999999994</v>
      </c>
      <c r="E30" s="8">
        <v>251.83</v>
      </c>
      <c r="F30" s="8">
        <v>80.550000000000011</v>
      </c>
    </row>
    <row r="31" spans="1:6" x14ac:dyDescent="0.35">
      <c r="B31" t="s">
        <v>6214</v>
      </c>
      <c r="C31" s="8">
        <v>418.30499999999989</v>
      </c>
      <c r="D31" s="8">
        <v>468.125</v>
      </c>
      <c r="E31" s="8">
        <v>405.05500000000006</v>
      </c>
      <c r="F31" s="8">
        <v>253.15499999999997</v>
      </c>
    </row>
    <row r="32" spans="1:6" x14ac:dyDescent="0.35">
      <c r="B32" t="s">
        <v>6209</v>
      </c>
      <c r="C32" s="8">
        <v>102.32999999999998</v>
      </c>
      <c r="D32" s="8">
        <v>242.14000000000001</v>
      </c>
      <c r="E32" s="8">
        <v>554.875</v>
      </c>
      <c r="F32" s="8">
        <v>106.23999999999998</v>
      </c>
    </row>
    <row r="33" spans="1:6" x14ac:dyDescent="0.35">
      <c r="B33" t="s">
        <v>6210</v>
      </c>
      <c r="C33" s="8">
        <v>234.71999999999997</v>
      </c>
      <c r="D33" s="8">
        <v>133.08000000000001</v>
      </c>
      <c r="E33" s="8">
        <v>267.2</v>
      </c>
      <c r="F33" s="8">
        <v>272.68999999999994</v>
      </c>
    </row>
    <row r="34" spans="1:6" x14ac:dyDescent="0.35">
      <c r="B34" t="s">
        <v>6198</v>
      </c>
      <c r="C34" s="8">
        <v>430.39</v>
      </c>
      <c r="D34" s="8">
        <v>136.20500000000001</v>
      </c>
      <c r="E34" s="8">
        <v>209.6</v>
      </c>
      <c r="F34" s="8">
        <v>88.334999999999994</v>
      </c>
    </row>
    <row r="35" spans="1:6" x14ac:dyDescent="0.35">
      <c r="B35" t="s">
        <v>6199</v>
      </c>
      <c r="C35" s="8">
        <v>109.005</v>
      </c>
      <c r="D35" s="8">
        <v>393.57499999999999</v>
      </c>
      <c r="E35" s="8">
        <v>61.034999999999997</v>
      </c>
      <c r="F35" s="8">
        <v>199.48999999999998</v>
      </c>
    </row>
    <row r="36" spans="1:6" x14ac:dyDescent="0.35">
      <c r="B36" t="s">
        <v>6200</v>
      </c>
      <c r="C36" s="8">
        <v>287.52499999999998</v>
      </c>
      <c r="D36" s="8">
        <v>288.67</v>
      </c>
      <c r="E36" s="8">
        <v>125.58</v>
      </c>
      <c r="F36" s="8">
        <v>374.13499999999999</v>
      </c>
    </row>
    <row r="37" spans="1:6" x14ac:dyDescent="0.35">
      <c r="B37" t="s">
        <v>6201</v>
      </c>
      <c r="C37" s="8">
        <v>840.92999999999984</v>
      </c>
      <c r="D37" s="8">
        <v>409.875</v>
      </c>
      <c r="E37" s="8">
        <v>171.32999999999998</v>
      </c>
      <c r="F37" s="8">
        <v>221.43999999999997</v>
      </c>
    </row>
    <row r="38" spans="1:6" x14ac:dyDescent="0.35">
      <c r="B38" t="s">
        <v>6215</v>
      </c>
      <c r="C38" s="8">
        <v>299.07</v>
      </c>
      <c r="D38" s="8">
        <v>260.32499999999999</v>
      </c>
      <c r="E38" s="8">
        <v>584.64</v>
      </c>
      <c r="F38" s="8">
        <v>256.36500000000001</v>
      </c>
    </row>
    <row r="39" spans="1:6" x14ac:dyDescent="0.35">
      <c r="B39" t="s">
        <v>6216</v>
      </c>
      <c r="C39" s="8">
        <v>323.32499999999999</v>
      </c>
      <c r="D39" s="8">
        <v>565.57000000000005</v>
      </c>
      <c r="E39" s="8">
        <v>537.80999999999995</v>
      </c>
      <c r="F39" s="8">
        <v>189.47499999999999</v>
      </c>
    </row>
    <row r="40" spans="1:6" x14ac:dyDescent="0.35">
      <c r="B40" t="s">
        <v>6217</v>
      </c>
      <c r="C40" s="8">
        <v>399.48499999999996</v>
      </c>
      <c r="D40" s="8">
        <v>148.19999999999999</v>
      </c>
      <c r="E40" s="8">
        <v>388.21999999999997</v>
      </c>
      <c r="F40" s="8">
        <v>212.07499999999999</v>
      </c>
    </row>
    <row r="41" spans="1:6" x14ac:dyDescent="0.35">
      <c r="A41" t="s">
        <v>6219</v>
      </c>
      <c r="B41" t="s">
        <v>6212</v>
      </c>
      <c r="C41" s="8">
        <v>112.69499999999999</v>
      </c>
      <c r="D41" s="8">
        <v>166.32</v>
      </c>
      <c r="E41" s="8">
        <v>843.71499999999992</v>
      </c>
      <c r="F41" s="8">
        <v>146.685</v>
      </c>
    </row>
    <row r="42" spans="1:6" x14ac:dyDescent="0.35">
      <c r="B42" t="s">
        <v>6213</v>
      </c>
      <c r="C42" s="8">
        <v>114.87999999999998</v>
      </c>
      <c r="D42" s="8">
        <v>133.815</v>
      </c>
      <c r="E42" s="8">
        <v>91.175000000000011</v>
      </c>
      <c r="F42" s="8">
        <v>53.759999999999991</v>
      </c>
    </row>
    <row r="43" spans="1:6" x14ac:dyDescent="0.35">
      <c r="B43" t="s">
        <v>6214</v>
      </c>
      <c r="C43" s="8">
        <v>277.76</v>
      </c>
      <c r="D43" s="8">
        <v>175.41</v>
      </c>
      <c r="E43" s="8">
        <v>462.50999999999993</v>
      </c>
      <c r="F43" s="8">
        <v>399.52499999999998</v>
      </c>
    </row>
    <row r="44" spans="1:6" x14ac:dyDescent="0.35">
      <c r="B44" t="s">
        <v>6209</v>
      </c>
      <c r="C44" s="8">
        <v>197.89499999999998</v>
      </c>
      <c r="D44" s="8">
        <v>289.755</v>
      </c>
      <c r="E44" s="8">
        <v>88.545000000000002</v>
      </c>
      <c r="F44" s="8">
        <v>200.25499999999997</v>
      </c>
    </row>
    <row r="45" spans="1:6" x14ac:dyDescent="0.35">
      <c r="B45" t="s">
        <v>6210</v>
      </c>
      <c r="C45" s="8">
        <v>193.11499999999998</v>
      </c>
      <c r="D45" s="8">
        <v>212.49499999999998</v>
      </c>
      <c r="E45" s="8">
        <v>292.29000000000002</v>
      </c>
      <c r="F45" s="8">
        <v>304.46999999999997</v>
      </c>
    </row>
    <row r="46" spans="1:6" x14ac:dyDescent="0.35">
      <c r="B46" t="s">
        <v>6198</v>
      </c>
      <c r="C46" s="8">
        <v>179.79</v>
      </c>
      <c r="D46" s="8">
        <v>426.2</v>
      </c>
      <c r="E46" s="8">
        <v>170.08999999999997</v>
      </c>
      <c r="F46" s="8">
        <v>379.31</v>
      </c>
    </row>
    <row r="47" spans="1:6" x14ac:dyDescent="0.35">
      <c r="B47" t="s">
        <v>6199</v>
      </c>
      <c r="C47" s="8">
        <v>247.28999999999996</v>
      </c>
      <c r="D47" s="8">
        <v>246.685</v>
      </c>
      <c r="E47" s="8">
        <v>271.05499999999995</v>
      </c>
      <c r="F47" s="8">
        <v>141.69999999999999</v>
      </c>
    </row>
    <row r="48" spans="1:6" x14ac:dyDescent="0.35">
      <c r="B48" t="s">
        <v>6200</v>
      </c>
      <c r="C48" s="8">
        <v>116.39499999999998</v>
      </c>
      <c r="D48" s="8">
        <v>41.25</v>
      </c>
      <c r="E48" s="8">
        <v>15.54</v>
      </c>
      <c r="F48" s="8">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6C3C1-C81A-47CA-845D-AF9CB75DD1FC}">
  <dimension ref="A3:B6"/>
  <sheetViews>
    <sheetView workbookViewId="0">
      <selection activeCell="B14" sqref="B14"/>
    </sheetView>
  </sheetViews>
  <sheetFormatPr defaultRowHeight="14.5" x14ac:dyDescent="0.35"/>
  <cols>
    <col min="1" max="1" width="14.1796875" bestFit="1" customWidth="1"/>
    <col min="2" max="3" width="11.26953125" bestFit="1" customWidth="1"/>
    <col min="4" max="4" width="6.81640625" bestFit="1" customWidth="1"/>
    <col min="5" max="5" width="7.1796875" bestFit="1" customWidth="1"/>
    <col min="6" max="6" width="7.36328125" bestFit="1" customWidth="1"/>
    <col min="7" max="7" width="11.1796875" bestFit="1" customWidth="1"/>
  </cols>
  <sheetData>
    <row r="3" spans="1:2" x14ac:dyDescent="0.35">
      <c r="A3" s="6" t="s">
        <v>7</v>
      </c>
      <c r="B3" t="s">
        <v>6208</v>
      </c>
    </row>
    <row r="4" spans="1:2" x14ac:dyDescent="0.35">
      <c r="A4" t="s">
        <v>28</v>
      </c>
      <c r="B4" s="9">
        <v>2798.5050000000001</v>
      </c>
    </row>
    <row r="5" spans="1:2" x14ac:dyDescent="0.35">
      <c r="A5" t="s">
        <v>318</v>
      </c>
      <c r="B5" s="9">
        <v>6696.8649999999989</v>
      </c>
    </row>
    <row r="6" spans="1:2" x14ac:dyDescent="0.35">
      <c r="A6" t="s">
        <v>19</v>
      </c>
      <c r="B6" s="9">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A6AC-AD00-42BC-9652-F7F29DDA33D7}">
  <dimension ref="A3:B8"/>
  <sheetViews>
    <sheetView workbookViewId="0">
      <selection activeCell="C12" sqref="C12"/>
    </sheetView>
  </sheetViews>
  <sheetFormatPr defaultRowHeight="14.5" x14ac:dyDescent="0.35"/>
  <cols>
    <col min="1" max="1" width="16.7265625" bestFit="1" customWidth="1"/>
    <col min="2" max="3" width="11.26953125" bestFit="1" customWidth="1"/>
    <col min="4" max="4" width="6.81640625" bestFit="1" customWidth="1"/>
    <col min="5" max="5" width="7.1796875" bestFit="1" customWidth="1"/>
    <col min="6" max="6" width="7.36328125" bestFit="1" customWidth="1"/>
    <col min="7" max="7" width="11.1796875" bestFit="1" customWidth="1"/>
  </cols>
  <sheetData>
    <row r="3" spans="1:2" x14ac:dyDescent="0.35">
      <c r="A3" s="6" t="s">
        <v>4</v>
      </c>
      <c r="B3" t="s">
        <v>6208</v>
      </c>
    </row>
    <row r="4" spans="1:2" x14ac:dyDescent="0.35">
      <c r="A4" t="s">
        <v>3753</v>
      </c>
      <c r="B4" s="9">
        <v>278.01</v>
      </c>
    </row>
    <row r="5" spans="1:2" x14ac:dyDescent="0.35">
      <c r="A5" t="s">
        <v>1598</v>
      </c>
      <c r="B5" s="9">
        <v>281.67499999999995</v>
      </c>
    </row>
    <row r="6" spans="1:2" x14ac:dyDescent="0.35">
      <c r="A6" t="s">
        <v>2587</v>
      </c>
      <c r="B6" s="9">
        <v>289.11</v>
      </c>
    </row>
    <row r="7" spans="1:2" x14ac:dyDescent="0.35">
      <c r="A7" t="s">
        <v>5765</v>
      </c>
      <c r="B7" s="9">
        <v>307.04499999999996</v>
      </c>
    </row>
    <row r="8" spans="1:2" x14ac:dyDescent="0.35">
      <c r="A8" t="s">
        <v>5114</v>
      </c>
      <c r="B8" s="9">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422A-401D-404F-A197-97B8C65E4260}">
  <dimension ref="A1"/>
  <sheetViews>
    <sheetView showGridLines="0" tabSelected="1" zoomScale="66" workbookViewId="0">
      <selection activeCell="Q40" sqref="Q40"/>
    </sheetView>
  </sheetViews>
  <sheetFormatPr defaultRowHeight="14.5" x14ac:dyDescent="0.35"/>
  <cols>
    <col min="4" max="4" width="2.6328125" customWidth="1"/>
    <col min="5" max="21" width="6.1796875" customWidth="1"/>
    <col min="22" max="22" width="2" customWidth="1"/>
  </cols>
  <sheetData>
    <row r="1" ht="9"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7" workbookViewId="0">
      <selection activeCell="I1" sqref="I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headerFooter>
    <oddHeader>&amp;C&amp;"Aptos"&amp;8&amp;K000000 Internal Use&amp;1#_x000D_</oddHeader>
    <oddFooter>&amp;C_x000D_&amp;1#&amp;"Aptos"&amp;10&amp;K000000 For RealPage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headerFooter>
    <oddHeader>&amp;C&amp;"Aptos"&amp;8&amp;K000000 Internal Use&amp;1#_x000D_</oddHeader>
    <oddFooter>&amp;C_x000D_&amp;1#&amp;"Aptos"&amp;10&amp;K000000 For RealPage Internal Use Only</oddFooter>
  </headerFooter>
</worksheet>
</file>

<file path=docMetadata/LabelInfo.xml><?xml version="1.0" encoding="utf-8"?>
<clbl:labelList xmlns:clbl="http://schemas.microsoft.com/office/2020/mipLabelMetadata">
  <clbl:label id="{36970c53-fc97-4c45-87e9-80615808800c}" enabled="1" method="Standard" siteId="{2c94bed6-d675-4d3d-a53b-7b461fd6acc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total sales</vt:lpstr>
      <vt:lpstr>Country wise sales</vt:lpstr>
      <vt:lpstr>Top 5 Customers</vt:lpstr>
      <vt:lpstr>Dashboard</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Satya Vallem</cp:lastModifiedBy>
  <cp:revision/>
  <dcterms:created xsi:type="dcterms:W3CDTF">2022-11-26T09:51:45Z</dcterms:created>
  <dcterms:modified xsi:type="dcterms:W3CDTF">2026-08-12T02:04:07Z</dcterms:modified>
  <cp:category/>
  <cp:contentStatus/>
</cp:coreProperties>
</file>